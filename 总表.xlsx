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性别比例和年龄结构" sheetId="1" r:id="rId1"/>
    <sheet name="人口规模" sheetId="2" r:id="rId2"/>
    <sheet name="教育水平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<sst xmlns="http://schemas.openxmlformats.org/spreadsheetml/2006/main" count="202" uniqueCount="130">
  <si>
    <t>省份/年份</t>
  </si>
  <si>
    <t>性别比例</t>
  </si>
  <si>
    <t>总人口</t>
  </si>
  <si>
    <t>65岁以上</t>
  </si>
  <si>
    <t>老龄化比例</t>
  </si>
  <si>
    <t>北　京</t>
  </si>
  <si>
    <t>10819414</t>
  </si>
  <si>
    <t>天　津</t>
  </si>
  <si>
    <t xml:space="preserve">    103.62</t>
  </si>
  <si>
    <t>8785427</t>
  </si>
  <si>
    <t>河　北</t>
  </si>
  <si>
    <t xml:space="preserve">    104.48</t>
  </si>
  <si>
    <t>61082755</t>
  </si>
  <si>
    <t>山　西</t>
  </si>
  <si>
    <t xml:space="preserve">    108.39</t>
  </si>
  <si>
    <t>28758846</t>
  </si>
  <si>
    <t>内蒙古</t>
  </si>
  <si>
    <t xml:space="preserve">    108.30</t>
  </si>
  <si>
    <t>21456518</t>
  </si>
  <si>
    <t>辽　宁</t>
  </si>
  <si>
    <t xml:space="preserve">    104.38</t>
  </si>
  <si>
    <t>39459694</t>
  </si>
  <si>
    <t>吉　林</t>
  </si>
  <si>
    <t xml:space="preserve">    104.89</t>
  </si>
  <si>
    <t>24659790</t>
  </si>
  <si>
    <t>黑龙江</t>
  </si>
  <si>
    <t xml:space="preserve">    105.14</t>
  </si>
  <si>
    <t>35215932</t>
  </si>
  <si>
    <t>上　海</t>
  </si>
  <si>
    <t xml:space="preserve">    104.14</t>
  </si>
  <si>
    <t>13341852</t>
  </si>
  <si>
    <t>江　苏</t>
  </si>
  <si>
    <t xml:space="preserve">    103.61</t>
  </si>
  <si>
    <t>67056812</t>
  </si>
  <si>
    <t>浙　江</t>
  </si>
  <si>
    <t xml:space="preserve">    106.37</t>
  </si>
  <si>
    <t>41446015</t>
  </si>
  <si>
    <t>安　徽</t>
  </si>
  <si>
    <t xml:space="preserve">    106.89</t>
  </si>
  <si>
    <t>56181005</t>
  </si>
  <si>
    <t>福　建</t>
  </si>
  <si>
    <t xml:space="preserve">    105.61</t>
  </si>
  <si>
    <t>30048275</t>
  </si>
  <si>
    <t>江　西</t>
  </si>
  <si>
    <t xml:space="preserve">    106.99</t>
  </si>
  <si>
    <t>37710177</t>
  </si>
  <si>
    <t>山　东</t>
  </si>
  <si>
    <t xml:space="preserve">    103.46</t>
  </si>
  <si>
    <t>84392104</t>
  </si>
  <si>
    <t>河　南</t>
  </si>
  <si>
    <t xml:space="preserve">    104.96</t>
  </si>
  <si>
    <t>85534200</t>
  </si>
  <si>
    <t>湖　北</t>
  </si>
  <si>
    <t xml:space="preserve">    106.45</t>
  </si>
  <si>
    <t>53970501</t>
  </si>
  <si>
    <t>湖　南</t>
  </si>
  <si>
    <t xml:space="preserve">    108.02</t>
  </si>
  <si>
    <t>60657992</t>
  </si>
  <si>
    <t>广　东</t>
  </si>
  <si>
    <t xml:space="preserve">    104.80</t>
  </si>
  <si>
    <t>62829741</t>
  </si>
  <si>
    <t>广　西</t>
  </si>
  <si>
    <t xml:space="preserve">    110.29</t>
  </si>
  <si>
    <t>42244884</t>
  </si>
  <si>
    <t>海　南</t>
  </si>
  <si>
    <t xml:space="preserve">    108.91</t>
  </si>
  <si>
    <t>6558076</t>
  </si>
  <si>
    <t>四　川</t>
  </si>
  <si>
    <t xml:space="preserve">    107.50</t>
  </si>
  <si>
    <t>107218310</t>
  </si>
  <si>
    <t>贵　州</t>
  </si>
  <si>
    <t xml:space="preserve">    107.34</t>
  </si>
  <si>
    <t>32391051</t>
  </si>
  <si>
    <t>云　南</t>
  </si>
  <si>
    <t xml:space="preserve">    105.67</t>
  </si>
  <si>
    <t>36972587</t>
  </si>
  <si>
    <t>西　藏</t>
  </si>
  <si>
    <t xml:space="preserve">    100.16</t>
  </si>
  <si>
    <t>2196029</t>
  </si>
  <si>
    <t>陕　西</t>
  </si>
  <si>
    <t xml:space="preserve">    107.95</t>
  </si>
  <si>
    <t>32882286</t>
  </si>
  <si>
    <t>甘　肃</t>
  </si>
  <si>
    <t xml:space="preserve">      107.54</t>
  </si>
  <si>
    <t>22371085</t>
  </si>
  <si>
    <t>青　海</t>
  </si>
  <si>
    <t xml:space="preserve">    107.61</t>
  </si>
  <si>
    <t>4456952</t>
  </si>
  <si>
    <t>宁　夏</t>
  </si>
  <si>
    <t xml:space="preserve">    105.45</t>
  </si>
  <si>
    <t>4655445</t>
  </si>
  <si>
    <t>新　疆</t>
  </si>
  <si>
    <t xml:space="preserve">    106.67</t>
  </si>
  <si>
    <t>15156883</t>
  </si>
  <si>
    <t>省份</t>
  </si>
  <si>
    <t>年份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</si>
  <si>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</si>
  <si>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</si>
  <si>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</si>
  <si>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</si>
  <si>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</si>
  <si>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</si>
  <si>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</si>
  <si>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</si>
  <si>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</si>
  <si>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</si>
  <si>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</si>
  <si>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</si>
  <si>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</si>
  <si>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</si>
  <si>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</si>
  <si>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</si>
  <si>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</si>
  <si>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</si>
  <si>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</si>
  <si>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</si>
  <si>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</si>
  <si>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</si>
  <si>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</si>
  <si>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</si>
  <si>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</si>
  <si>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</si>
  <si>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</si>
  <si>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</si>
  <si>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</si>
  <si>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</si>
  <si>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地区</t>
  </si>
  <si>
    <t>受教育程度</t>
  </si>
  <si>
    <t>大学或大专以下</t>
  </si>
  <si>
    <t>大学及大专以上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</si>
</sst>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9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0"/>
      <name val="Times New Roman"/>
      <charset val="0"/>
    </font>
    <font>
      <b/>
      <sz val="10"/>
      <color theme="1"/>
      <name val="Arial"/>
      <charset val="0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7" fillId="0" borderId="5">
      <alignment vertical="center"/>
    </xf>
    <xf numFmtId="0" fontId="17" fillId="0" borderId="0">
      <alignment vertical="center"/>
    </xf>
    <xf numFmtId="0" fontId="18" fillId="4" borderId="6">
      <alignment vertical="center"/>
    </xf>
    <xf numFmtId="0" fontId="19" fillId="5" borderId="7">
      <alignment vertical="center"/>
    </xf>
    <xf numFmtId="0" fontId="20" fillId="5" borderId="6">
      <alignment vertical="center"/>
    </xf>
    <xf numFmtId="0" fontId="21" fillId="6" borderId="8">
      <alignment vertical="center"/>
    </xf>
    <xf numFmtId="0" fontId="22" fillId="0" borderId="9">
      <alignment vertical="center"/>
    </xf>
    <xf numFmtId="0" fontId="23" fillId="0" borderId="1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left" vertical="center"/>
      <protection locked="0"/>
    </xf>
    <xf numFmtId="49" fontId="3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vertical="center"/>
    </xf>
    <xf numFmtId="49" fontId="2" fillId="0" borderId="2" xfId="0" applyNumberFormat="1" applyFont="1" applyFill="1" applyBorder="1" applyAlignment="1" applyProtection="1">
      <alignment horizontal="left" vertical="center"/>
      <protection locked="0"/>
    </xf>
    <xf numFmtId="49" fontId="3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right" vertical="center"/>
      <protection locked="0"/>
    </xf>
    <xf numFmtId="3" fontId="0" fillId="0" borderId="0" xfId="0" applyNumberFormat="1" applyFont="1" applyFill="1" applyAlignment="1"/>
    <xf numFmtId="2" fontId="5" fillId="0" borderId="0" xfId="0" applyNumberFormat="1" applyFont="1" applyFill="1" applyBorder="1" applyAlignment="1"/>
    <xf numFmtId="0" fontId="5" fillId="0" borderId="0" xfId="0" applyFont="1" applyFill="1" applyBorder="1" applyAlignment="1"/>
    <xf numFmtId="2" fontId="0" fillId="0" borderId="0" xfId="0" applyNumberFormat="1" applyFont="1" applyFill="1" applyAlignment="1"/>
    <xf numFmtId="1" fontId="6" fillId="2" borderId="0" xfId="0" applyNumberFormat="1" applyFont="1" applyFill="1" applyBorder="1" applyAlignment="1">
      <alignment vertical="center"/>
    </xf>
    <xf numFmtId="0" fontId="7" fillId="0" borderId="0" xfId="0" applyFont="1" applyAlignment="1">
      <alignment horizontal="right" wrapText="1"/>
    </xf>
    <xf numFmtId="176" fontId="8" fillId="0" borderId="0" xfId="1" applyNumberFormat="1" applyFont="1" applyAlignment="1">
      <alignment horizontal="right" vertical="center" wrapText="1"/>
    </xf>
    <xf numFmtId="49" fontId="2" fillId="0" borderId="1" xfId="0" applyNumberFormat="1" applyFont="1" applyFill="1" applyBorder="1" applyAlignment="1" applyProtection="1">
      <alignment horizontal="right" vertical="center"/>
      <protection locked="0"/>
    </xf>
    <xf numFmtId="3" fontId="9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176" fontId="8" fillId="0" borderId="0" xfId="1" applyNumberFormat="1" applyFont="1" applyBorder="1" applyAlignment="1">
      <alignment horizontal="center" vertical="center" wrapText="1"/>
    </xf>
    <xf numFmtId="49" fontId="2" fillId="0" borderId="2" xfId="0" applyNumberFormat="1" applyFont="1" applyFill="1" applyBorder="1" applyAlignment="1" applyProtection="1">
      <alignment horizontal="right" vertical="center"/>
      <protection locked="0"/>
    </xf>
    <xf numFmtId="49" fontId="2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"/>
  <sheetViews>
    <sheetView workbookViewId="0">
      <selection activeCell="S16" sqref="S16"/>
    </sheetView>
  </sheetViews>
  <sheetFormatPr defaultColWidth="9" defaultRowHeight="14"/>
  <cols>
    <col min="1" max="1" width="10.9090909090909" customWidth="1"/>
    <col min="3" max="3" width="16" customWidth="1"/>
    <col min="4" max="4" width="10.6363636363636"/>
    <col min="5" max="5" width="11" customWidth="1"/>
    <col min="7" max="7" width="10.5454545454545"/>
    <col min="8" max="8" width="11.4545454545455"/>
    <col min="9" max="9" width="11" customWidth="1"/>
    <col min="11" max="11" width="10.6363636363636"/>
    <col min="12" max="12" width="9.54545454545454"/>
    <col min="13" max="13" width="11" customWidth="1"/>
    <col min="15" max="15" width="11.8181818181818"/>
    <col min="17" max="17" width="11" customWidth="1"/>
  </cols>
  <sheetData>
    <row r="1" spans="1:17">
      <c r="A1" t="s">
        <v>0</v>
      </c>
      <c r="B1" s="1">
        <v>1990</v>
      </c>
      <c r="C1" s="1"/>
      <c r="D1" s="1"/>
      <c r="E1" s="1"/>
      <c r="F1" s="1">
        <v>2000</v>
      </c>
      <c r="G1" s="1"/>
      <c r="H1" s="1"/>
      <c r="I1" s="1"/>
      <c r="J1" s="1">
        <v>2010</v>
      </c>
      <c r="K1" s="1"/>
      <c r="L1" s="1"/>
      <c r="M1" s="1"/>
      <c r="N1" s="1">
        <v>2020</v>
      </c>
      <c r="O1" s="1"/>
      <c r="P1" s="1"/>
      <c r="Q1" s="1"/>
    </row>
    <row r="2" spans="1:17">
      <c r="A2" s="8"/>
      <c r="B2" t="s">
        <v>1</v>
      </c>
      <c r="C2" t="s">
        <v>2</v>
      </c>
      <c r="D2" t="s">
        <v>3</v>
      </c>
      <c r="E2" t="s">
        <v>4</v>
      </c>
      <c r="F2" t="s">
        <v>1</v>
      </c>
      <c r="G2" t="s">
        <v>2</v>
      </c>
      <c r="H2" t="s">
        <v>3</v>
      </c>
      <c r="I2" t="s">
        <v>4</v>
      </c>
      <c r="J2" t="s">
        <v>1</v>
      </c>
      <c r="K2" t="s">
        <v>2</v>
      </c>
      <c r="L2" t="s">
        <v>3</v>
      </c>
      <c r="M2" t="s">
        <v>4</v>
      </c>
      <c r="N2" t="s">
        <v>1</v>
      </c>
      <c r="O2" t="s">
        <v>2</v>
      </c>
      <c r="P2" t="s">
        <v>3</v>
      </c>
      <c r="Q2" t="s">
        <v>4</v>
      </c>
    </row>
    <row r="3" ht="15" spans="1:17">
      <c r="A3" s="9" t="s">
        <v>5</v>
      </c>
      <c r="B3" s="10">
        <v>107.03</v>
      </c>
      <c r="C3" s="4" t="s">
        <v>6</v>
      </c>
      <c r="D3" s="11">
        <v>895139</v>
      </c>
      <c r="E3">
        <f>D3/C3</f>
        <v>0.0827345177844197</v>
      </c>
      <c r="F3" s="12">
        <v>108.93</v>
      </c>
      <c r="G3" s="13">
        <v>13569194</v>
      </c>
      <c r="H3">
        <v>5885228</v>
      </c>
      <c r="I3">
        <f>H3/G3</f>
        <v>0.433719792052498</v>
      </c>
      <c r="J3" s="14">
        <v>106.75</v>
      </c>
      <c r="K3" s="15">
        <v>19612368</v>
      </c>
      <c r="L3">
        <v>2344604</v>
      </c>
      <c r="M3">
        <f>L3/K3</f>
        <v>0.119547216327982</v>
      </c>
      <c r="N3" s="16">
        <v>104.65</v>
      </c>
      <c r="O3" s="17">
        <v>21893095</v>
      </c>
      <c r="P3">
        <v>2911849</v>
      </c>
      <c r="Q3">
        <f>P3/O3</f>
        <v>0.133003076997565</v>
      </c>
    </row>
    <row r="4" ht="15" spans="1:17">
      <c r="A4" s="9" t="s">
        <v>7</v>
      </c>
      <c r="B4" s="18" t="s">
        <v>8</v>
      </c>
      <c r="C4" s="4" t="s">
        <v>9</v>
      </c>
      <c r="D4" s="11">
        <v>666131</v>
      </c>
      <c r="E4">
        <f t="shared" ref="E4:E32" si="0">D4/C4</f>
        <v>0.0758222679444038</v>
      </c>
      <c r="F4" s="12">
        <v>103.81</v>
      </c>
      <c r="G4" s="13">
        <v>9848731</v>
      </c>
      <c r="H4">
        <v>3632686</v>
      </c>
      <c r="I4">
        <f t="shared" ref="I4:I32" si="1">H4/G4</f>
        <v>0.368848128758923</v>
      </c>
      <c r="J4" s="14">
        <v>114.52</v>
      </c>
      <c r="K4" s="15">
        <v>12938693</v>
      </c>
      <c r="L4">
        <v>1287229</v>
      </c>
      <c r="M4">
        <f t="shared" ref="M4:M32" si="2">L4/K4</f>
        <v>0.0994867874212643</v>
      </c>
      <c r="N4" s="16">
        <v>106.31</v>
      </c>
      <c r="O4" s="17">
        <v>13866009</v>
      </c>
      <c r="P4">
        <v>2045236</v>
      </c>
      <c r="Q4">
        <f t="shared" ref="Q4:Q32" si="3">P4/O4</f>
        <v>0.147499976381091</v>
      </c>
    </row>
    <row r="5" ht="15" spans="1:17">
      <c r="A5" s="9" t="s">
        <v>10</v>
      </c>
      <c r="B5" s="18" t="s">
        <v>11</v>
      </c>
      <c r="C5" s="4" t="s">
        <v>12</v>
      </c>
      <c r="D5" s="11">
        <v>3757936</v>
      </c>
      <c r="E5">
        <f t="shared" si="0"/>
        <v>0.0615220449699756</v>
      </c>
      <c r="F5" s="12">
        <v>103.63</v>
      </c>
      <c r="G5" s="13">
        <v>66684419</v>
      </c>
      <c r="H5" s="19">
        <v>1566033</v>
      </c>
      <c r="I5">
        <f t="shared" si="1"/>
        <v>0.0234842414987525</v>
      </c>
      <c r="J5" s="14">
        <v>102.84</v>
      </c>
      <c r="K5" s="15">
        <v>71854210</v>
      </c>
      <c r="L5">
        <v>12553336</v>
      </c>
      <c r="M5">
        <f t="shared" si="2"/>
        <v>0.17470564355241</v>
      </c>
      <c r="N5" s="16">
        <v>102.02</v>
      </c>
      <c r="O5" s="17">
        <v>74610235</v>
      </c>
      <c r="P5">
        <v>10385735</v>
      </c>
      <c r="Q5">
        <f t="shared" si="3"/>
        <v>0.139199869830192</v>
      </c>
    </row>
    <row r="6" ht="15" spans="1:17">
      <c r="A6" s="9" t="s">
        <v>13</v>
      </c>
      <c r="B6" s="18" t="s">
        <v>14</v>
      </c>
      <c r="C6" s="4" t="s">
        <v>15</v>
      </c>
      <c r="D6" s="11">
        <v>1604135</v>
      </c>
      <c r="E6">
        <f t="shared" si="0"/>
        <v>0.0557788375792269</v>
      </c>
      <c r="F6" s="12">
        <v>107.21</v>
      </c>
      <c r="G6" s="13">
        <v>32471242</v>
      </c>
      <c r="H6" s="19">
        <v>2569840</v>
      </c>
      <c r="I6">
        <f t="shared" si="1"/>
        <v>0.0791420297381911</v>
      </c>
      <c r="J6" s="14">
        <v>105.56</v>
      </c>
      <c r="K6" s="15">
        <v>35712101</v>
      </c>
      <c r="L6">
        <v>5303435</v>
      </c>
      <c r="M6">
        <f t="shared" si="2"/>
        <v>0.148505264364032</v>
      </c>
      <c r="N6" s="16">
        <v>104.06</v>
      </c>
      <c r="O6" s="17">
        <v>34915616</v>
      </c>
      <c r="P6">
        <v>4504114</v>
      </c>
      <c r="Q6">
        <f t="shared" si="3"/>
        <v>0.128999986710817</v>
      </c>
    </row>
    <row r="7" ht="15" spans="1:17">
      <c r="A7" s="9" t="s">
        <v>16</v>
      </c>
      <c r="B7" s="18" t="s">
        <v>17</v>
      </c>
      <c r="C7" s="4" t="s">
        <v>18</v>
      </c>
      <c r="D7" s="11">
        <v>2652748</v>
      </c>
      <c r="E7">
        <f t="shared" si="0"/>
        <v>0.123633666935148</v>
      </c>
      <c r="F7" s="12">
        <v>107.1</v>
      </c>
      <c r="G7" s="13">
        <v>23323347</v>
      </c>
      <c r="H7" s="11">
        <v>1249300</v>
      </c>
      <c r="I7">
        <f t="shared" si="1"/>
        <v>0.0535643533494571</v>
      </c>
      <c r="J7" s="14">
        <v>108.05</v>
      </c>
      <c r="K7" s="15">
        <v>24706291</v>
      </c>
      <c r="L7">
        <v>3292199</v>
      </c>
      <c r="M7">
        <f t="shared" si="2"/>
        <v>0.13325346973368</v>
      </c>
      <c r="N7" s="16">
        <v>104.26</v>
      </c>
      <c r="O7" s="17">
        <v>24049155</v>
      </c>
      <c r="P7">
        <v>3138415</v>
      </c>
      <c r="Q7">
        <f t="shared" si="3"/>
        <v>0.130500011330959</v>
      </c>
    </row>
    <row r="8" ht="15" spans="1:17">
      <c r="A8" s="9" t="s">
        <v>19</v>
      </c>
      <c r="B8" s="18" t="s">
        <v>20</v>
      </c>
      <c r="C8" s="4" t="s">
        <v>21</v>
      </c>
      <c r="D8" s="11">
        <v>1281489</v>
      </c>
      <c r="E8">
        <f t="shared" si="0"/>
        <v>0.0324758980644908</v>
      </c>
      <c r="F8" s="12">
        <v>104.01</v>
      </c>
      <c r="G8" s="13">
        <v>41824412</v>
      </c>
      <c r="H8" s="11">
        <v>1512382</v>
      </c>
      <c r="I8">
        <f t="shared" si="1"/>
        <v>0.0361602692704921</v>
      </c>
      <c r="J8" s="14">
        <v>102.54</v>
      </c>
      <c r="K8" s="15">
        <v>43746323</v>
      </c>
      <c r="L8">
        <v>9415643</v>
      </c>
      <c r="M8">
        <f t="shared" si="2"/>
        <v>0.215232786536139</v>
      </c>
      <c r="N8" s="16">
        <v>99.7</v>
      </c>
      <c r="O8" s="17">
        <v>42591407</v>
      </c>
      <c r="P8">
        <v>7419423</v>
      </c>
      <c r="Q8">
        <f t="shared" si="3"/>
        <v>0.174199997666196</v>
      </c>
    </row>
    <row r="9" ht="15" spans="1:17">
      <c r="A9" s="9" t="s">
        <v>22</v>
      </c>
      <c r="B9" s="18" t="s">
        <v>23</v>
      </c>
      <c r="C9" s="4" t="s">
        <v>24</v>
      </c>
      <c r="D9" s="11">
        <v>223255</v>
      </c>
      <c r="E9">
        <f t="shared" si="0"/>
        <v>0.0090534023201333</v>
      </c>
      <c r="F9" s="12">
        <v>104.89</v>
      </c>
      <c r="G9" s="13">
        <v>26802191</v>
      </c>
      <c r="H9" s="11">
        <v>5054876</v>
      </c>
      <c r="I9">
        <f t="shared" si="1"/>
        <v>0.188599357418205</v>
      </c>
      <c r="J9" s="14">
        <v>102.67</v>
      </c>
      <c r="K9" s="15">
        <v>27452815</v>
      </c>
      <c r="L9">
        <v>5416681</v>
      </c>
      <c r="M9">
        <f t="shared" si="2"/>
        <v>0.197308764146773</v>
      </c>
      <c r="N9" s="16">
        <v>99.69</v>
      </c>
      <c r="O9" s="17">
        <v>24073453</v>
      </c>
      <c r="P9">
        <v>3757866</v>
      </c>
      <c r="Q9">
        <f t="shared" si="3"/>
        <v>0.156099999447524</v>
      </c>
    </row>
    <row r="10" ht="15" spans="1:17">
      <c r="A10" s="9" t="s">
        <v>25</v>
      </c>
      <c r="B10" s="18" t="s">
        <v>26</v>
      </c>
      <c r="C10" s="4" t="s">
        <v>27</v>
      </c>
      <c r="D10" s="11">
        <v>1547819</v>
      </c>
      <c r="E10">
        <f t="shared" si="0"/>
        <v>0.0439522372998676</v>
      </c>
      <c r="F10" s="12">
        <v>104.54</v>
      </c>
      <c r="G10" s="13">
        <v>36237576</v>
      </c>
      <c r="H10" s="11">
        <v>3157782</v>
      </c>
      <c r="I10">
        <f t="shared" si="1"/>
        <v>0.087141093543343</v>
      </c>
      <c r="J10" s="14">
        <v>103.22</v>
      </c>
      <c r="K10" s="15">
        <v>38313991</v>
      </c>
      <c r="L10">
        <v>7657264</v>
      </c>
      <c r="M10">
        <f t="shared" si="2"/>
        <v>0.199855556681631</v>
      </c>
      <c r="N10" s="16">
        <v>100.35</v>
      </c>
      <c r="O10" s="17">
        <v>31850088</v>
      </c>
      <c r="P10">
        <v>4972749</v>
      </c>
      <c r="Q10">
        <f t="shared" si="3"/>
        <v>0.156129835496844</v>
      </c>
    </row>
    <row r="11" ht="15" spans="1:17">
      <c r="A11" s="9" t="s">
        <v>28</v>
      </c>
      <c r="B11" s="18" t="s">
        <v>29</v>
      </c>
      <c r="C11" s="4" t="s">
        <v>30</v>
      </c>
      <c r="D11" s="11">
        <v>1557822</v>
      </c>
      <c r="E11">
        <f t="shared" si="0"/>
        <v>0.116762050725791</v>
      </c>
      <c r="F11" s="12">
        <v>105.68</v>
      </c>
      <c r="G11" s="13">
        <v>16407734</v>
      </c>
      <c r="H11" s="11">
        <v>3471298</v>
      </c>
      <c r="I11">
        <f t="shared" si="1"/>
        <v>0.211564741359166</v>
      </c>
      <c r="J11" s="14">
        <v>106.18</v>
      </c>
      <c r="K11" s="15">
        <v>23019196</v>
      </c>
      <c r="L11">
        <v>4796269</v>
      </c>
      <c r="M11">
        <f t="shared" si="2"/>
        <v>0.208359536101956</v>
      </c>
      <c r="N11" s="16">
        <v>107.33</v>
      </c>
      <c r="O11" s="17">
        <v>24870895</v>
      </c>
      <c r="P11">
        <v>4049081</v>
      </c>
      <c r="Q11">
        <f t="shared" si="3"/>
        <v>0.162803992377436</v>
      </c>
    </row>
    <row r="12" ht="15" spans="1:17">
      <c r="A12" s="9" t="s">
        <v>31</v>
      </c>
      <c r="B12" s="18" t="s">
        <v>32</v>
      </c>
      <c r="C12" s="4" t="s">
        <v>33</v>
      </c>
      <c r="D12" s="11">
        <v>5283786</v>
      </c>
      <c r="E12">
        <f t="shared" si="0"/>
        <v>0.0787956635934318</v>
      </c>
      <c r="F12" s="12">
        <v>102.55</v>
      </c>
      <c r="G12" s="13">
        <v>73043577</v>
      </c>
      <c r="H12" s="11">
        <v>1765148</v>
      </c>
      <c r="I12">
        <f t="shared" si="1"/>
        <v>0.0241656839998403</v>
      </c>
      <c r="J12" s="14">
        <v>101.54</v>
      </c>
      <c r="K12" s="15">
        <v>78660941</v>
      </c>
      <c r="L12">
        <v>14216331</v>
      </c>
      <c r="M12">
        <f t="shared" si="2"/>
        <v>0.18072922621152</v>
      </c>
      <c r="N12" s="16">
        <v>103.15</v>
      </c>
      <c r="O12" s="17">
        <v>84748016</v>
      </c>
      <c r="P12">
        <v>13729179</v>
      </c>
      <c r="Q12">
        <f t="shared" si="3"/>
        <v>0.162000004814272</v>
      </c>
    </row>
    <row r="13" ht="15" spans="1:17">
      <c r="A13" s="9" t="s">
        <v>34</v>
      </c>
      <c r="B13" s="18" t="s">
        <v>35</v>
      </c>
      <c r="C13" s="4" t="s">
        <v>36</v>
      </c>
      <c r="D13" s="11">
        <v>3289229</v>
      </c>
      <c r="E13">
        <f t="shared" si="0"/>
        <v>0.0793617673496475</v>
      </c>
      <c r="F13" s="12">
        <v>105.51</v>
      </c>
      <c r="G13" s="13">
        <v>45930651</v>
      </c>
      <c r="H13" s="11">
        <v>1968187</v>
      </c>
      <c r="I13">
        <f t="shared" si="1"/>
        <v>0.0428512759377175</v>
      </c>
      <c r="J13" s="14">
        <v>105.69</v>
      </c>
      <c r="K13" s="15">
        <v>54426891</v>
      </c>
      <c r="L13">
        <v>8569324</v>
      </c>
      <c r="M13">
        <f t="shared" si="2"/>
        <v>0.157446509299971</v>
      </c>
      <c r="N13" s="16">
        <v>109.04</v>
      </c>
      <c r="O13" s="17">
        <v>64567588</v>
      </c>
      <c r="P13">
        <v>8569109</v>
      </c>
      <c r="Q13">
        <f t="shared" si="3"/>
        <v>0.132715333891673</v>
      </c>
    </row>
    <row r="14" ht="15" spans="1:17">
      <c r="A14" s="9" t="s">
        <v>37</v>
      </c>
      <c r="B14" s="18" t="s">
        <v>38</v>
      </c>
      <c r="C14" s="4" t="s">
        <v>39</v>
      </c>
      <c r="D14" s="11">
        <v>3589703</v>
      </c>
      <c r="E14">
        <f t="shared" si="0"/>
        <v>0.0638953147954544</v>
      </c>
      <c r="F14" s="12">
        <v>106.57</v>
      </c>
      <c r="G14" s="13">
        <v>58999948</v>
      </c>
      <c r="H14" s="11">
        <v>5702863</v>
      </c>
      <c r="I14">
        <f t="shared" si="1"/>
        <v>0.0966587801060435</v>
      </c>
      <c r="J14" s="14">
        <v>103.39</v>
      </c>
      <c r="K14" s="15">
        <v>59500468</v>
      </c>
      <c r="L14">
        <v>10266515</v>
      </c>
      <c r="M14">
        <f t="shared" si="2"/>
        <v>0.172545113426671</v>
      </c>
      <c r="N14" s="16">
        <v>103.94</v>
      </c>
      <c r="O14" s="17">
        <v>61027171</v>
      </c>
      <c r="P14">
        <v>9159678</v>
      </c>
      <c r="Q14">
        <f t="shared" si="3"/>
        <v>0.150091800912744</v>
      </c>
    </row>
    <row r="15" ht="15" spans="1:17">
      <c r="A15" s="9" t="s">
        <v>40</v>
      </c>
      <c r="B15" s="18" t="s">
        <v>41</v>
      </c>
      <c r="C15" s="4" t="s">
        <v>42</v>
      </c>
      <c r="D15" s="11">
        <v>1850301</v>
      </c>
      <c r="E15">
        <f t="shared" si="0"/>
        <v>0.0615776113603859</v>
      </c>
      <c r="F15" s="12">
        <v>106.29</v>
      </c>
      <c r="G15" s="13">
        <v>34097947</v>
      </c>
      <c r="H15" s="11">
        <v>5052653</v>
      </c>
      <c r="I15">
        <f t="shared" si="1"/>
        <v>0.148180563480845</v>
      </c>
      <c r="J15" s="14">
        <v>105.96</v>
      </c>
      <c r="K15" s="15">
        <v>36894217</v>
      </c>
      <c r="L15">
        <v>5520099</v>
      </c>
      <c r="M15">
        <f t="shared" si="2"/>
        <v>0.149619627379543</v>
      </c>
      <c r="N15" s="16">
        <v>106.94</v>
      </c>
      <c r="O15" s="17">
        <v>41540086</v>
      </c>
      <c r="P15">
        <v>4610949</v>
      </c>
      <c r="Q15">
        <f t="shared" si="3"/>
        <v>0.11099998685607</v>
      </c>
    </row>
    <row r="16" ht="15" spans="1:17">
      <c r="A16" s="9" t="s">
        <v>43</v>
      </c>
      <c r="B16" s="18" t="s">
        <v>44</v>
      </c>
      <c r="C16" s="4" t="s">
        <v>45</v>
      </c>
      <c r="D16" s="11">
        <v>2036197</v>
      </c>
      <c r="E16">
        <f t="shared" si="0"/>
        <v>0.0539959544607812</v>
      </c>
      <c r="F16" s="12">
        <v>108.16</v>
      </c>
      <c r="G16" s="13">
        <v>40397598</v>
      </c>
      <c r="H16" s="11">
        <v>2917467</v>
      </c>
      <c r="I16">
        <f t="shared" si="1"/>
        <v>0.0722188235052985</v>
      </c>
      <c r="J16" s="14">
        <v>107.46</v>
      </c>
      <c r="K16" s="15">
        <v>44567797</v>
      </c>
      <c r="L16">
        <v>7366196</v>
      </c>
      <c r="M16">
        <f t="shared" si="2"/>
        <v>0.165280684616294</v>
      </c>
      <c r="N16" s="16">
        <v>106.62</v>
      </c>
      <c r="O16" s="17">
        <v>45188635</v>
      </c>
      <c r="P16">
        <v>5372830</v>
      </c>
      <c r="Q16">
        <f t="shared" si="3"/>
        <v>0.118897815789302</v>
      </c>
    </row>
    <row r="17" ht="15" spans="1:17">
      <c r="A17" s="9" t="s">
        <v>46</v>
      </c>
      <c r="B17" s="18" t="s">
        <v>47</v>
      </c>
      <c r="C17" s="4" t="s">
        <v>48</v>
      </c>
      <c r="D17" s="11">
        <v>5945826</v>
      </c>
      <c r="E17">
        <f t="shared" si="0"/>
        <v>0.0704547667160899</v>
      </c>
      <c r="F17" s="12">
        <v>102.5</v>
      </c>
      <c r="G17" s="13">
        <v>89971789</v>
      </c>
      <c r="H17" s="11">
        <v>3622033</v>
      </c>
      <c r="I17">
        <f t="shared" si="1"/>
        <v>0.0402574300262052</v>
      </c>
      <c r="J17" s="14">
        <v>102.33</v>
      </c>
      <c r="K17" s="15">
        <v>95792719</v>
      </c>
      <c r="L17">
        <v>18679857</v>
      </c>
      <c r="M17">
        <f t="shared" si="2"/>
        <v>0.195002889520236</v>
      </c>
      <c r="N17" s="16">
        <v>102.67</v>
      </c>
      <c r="O17" s="20">
        <v>101527453</v>
      </c>
      <c r="P17">
        <v>15361022</v>
      </c>
      <c r="Q17">
        <f t="shared" si="3"/>
        <v>0.151299195893351</v>
      </c>
    </row>
    <row r="18" ht="15" spans="1:17">
      <c r="A18" s="9" t="s">
        <v>49</v>
      </c>
      <c r="B18" s="18" t="s">
        <v>50</v>
      </c>
      <c r="C18" s="4" t="s">
        <v>51</v>
      </c>
      <c r="D18" s="11">
        <v>5263140</v>
      </c>
      <c r="E18">
        <f t="shared" si="0"/>
        <v>0.061532579950476</v>
      </c>
      <c r="F18" s="12">
        <v>106.46</v>
      </c>
      <c r="G18" s="13">
        <v>91236854</v>
      </c>
      <c r="H18" s="11">
        <v>4048066</v>
      </c>
      <c r="I18">
        <f t="shared" si="1"/>
        <v>0.044368759142002</v>
      </c>
      <c r="J18" s="14">
        <v>102.06</v>
      </c>
      <c r="K18" s="15">
        <v>94029939</v>
      </c>
      <c r="L18">
        <v>15155032</v>
      </c>
      <c r="M18">
        <f t="shared" si="2"/>
        <v>0.161172411267862</v>
      </c>
      <c r="N18" s="16">
        <v>100.6</v>
      </c>
      <c r="O18" s="17">
        <v>99365519</v>
      </c>
      <c r="P18">
        <v>13403710</v>
      </c>
      <c r="Q18">
        <f t="shared" si="3"/>
        <v>0.134892970266678</v>
      </c>
    </row>
    <row r="19" ht="15" spans="1:17">
      <c r="A19" s="9" t="s">
        <v>52</v>
      </c>
      <c r="B19" s="18" t="s">
        <v>53</v>
      </c>
      <c r="C19" s="4" t="s">
        <v>54</v>
      </c>
      <c r="D19" s="11">
        <v>3009467</v>
      </c>
      <c r="E19">
        <f t="shared" si="0"/>
        <v>0.0557613315466536</v>
      </c>
      <c r="F19" s="12">
        <v>108.61</v>
      </c>
      <c r="G19" s="13">
        <v>59508870</v>
      </c>
      <c r="H19" s="11">
        <v>387691</v>
      </c>
      <c r="I19">
        <f t="shared" si="1"/>
        <v>0.00651484392158682</v>
      </c>
      <c r="J19" s="14">
        <v>105.56</v>
      </c>
      <c r="K19" s="15">
        <v>57237727</v>
      </c>
      <c r="L19">
        <v>9025093</v>
      </c>
      <c r="M19">
        <f t="shared" si="2"/>
        <v>0.157677348019078</v>
      </c>
      <c r="N19" s="16">
        <v>105.83</v>
      </c>
      <c r="O19" s="17">
        <v>57752557</v>
      </c>
      <c r="P19">
        <v>8425098</v>
      </c>
      <c r="Q19">
        <f t="shared" si="3"/>
        <v>0.145882683601351</v>
      </c>
    </row>
    <row r="20" ht="15" spans="1:17">
      <c r="A20" s="9" t="s">
        <v>55</v>
      </c>
      <c r="B20" s="18" t="s">
        <v>56</v>
      </c>
      <c r="C20" s="4" t="s">
        <v>57</v>
      </c>
      <c r="D20" s="11">
        <v>3751356</v>
      </c>
      <c r="E20">
        <f t="shared" si="0"/>
        <v>0.0618443815284884</v>
      </c>
      <c r="F20" s="12">
        <v>108.96</v>
      </c>
      <c r="G20" s="13">
        <v>63274173</v>
      </c>
      <c r="H20" s="11">
        <v>4801201</v>
      </c>
      <c r="I20">
        <f t="shared" si="1"/>
        <v>0.0758793165103873</v>
      </c>
      <c r="J20" s="14">
        <v>105.81</v>
      </c>
      <c r="K20" s="15">
        <v>65700762</v>
      </c>
      <c r="L20">
        <v>11616974</v>
      </c>
      <c r="M20">
        <f t="shared" si="2"/>
        <v>0.176816427182382</v>
      </c>
      <c r="N20" s="16">
        <v>104.77</v>
      </c>
      <c r="O20" s="17">
        <v>66444864</v>
      </c>
      <c r="P20">
        <v>9839534</v>
      </c>
      <c r="Q20">
        <f t="shared" si="3"/>
        <v>0.148085697037472</v>
      </c>
    </row>
    <row r="21" ht="15" spans="1:17">
      <c r="A21" s="9" t="s">
        <v>58</v>
      </c>
      <c r="B21" s="18" t="s">
        <v>59</v>
      </c>
      <c r="C21" s="4" t="s">
        <v>60</v>
      </c>
      <c r="D21" s="11">
        <v>4297503</v>
      </c>
      <c r="E21">
        <f t="shared" si="0"/>
        <v>0.0683991837559859</v>
      </c>
      <c r="F21" s="12">
        <v>103.68</v>
      </c>
      <c r="G21" s="13">
        <v>85225007</v>
      </c>
      <c r="H21" s="11">
        <v>1593663</v>
      </c>
      <c r="I21">
        <f t="shared" si="1"/>
        <v>0.0186994763168515</v>
      </c>
      <c r="J21" s="14">
        <v>109</v>
      </c>
      <c r="K21" s="15">
        <v>104359204</v>
      </c>
      <c r="L21">
        <v>9333058</v>
      </c>
      <c r="M21">
        <f t="shared" si="2"/>
        <v>0.0894320543111847</v>
      </c>
      <c r="N21" s="16">
        <v>113.08</v>
      </c>
      <c r="O21" s="17">
        <v>126012510</v>
      </c>
      <c r="P21">
        <v>10811873</v>
      </c>
      <c r="Q21">
        <f t="shared" si="3"/>
        <v>0.0857999971590122</v>
      </c>
    </row>
    <row r="22" ht="15" spans="1:17">
      <c r="A22" s="9" t="s">
        <v>61</v>
      </c>
      <c r="B22" s="18" t="s">
        <v>62</v>
      </c>
      <c r="C22" s="4" t="s">
        <v>63</v>
      </c>
      <c r="D22" s="11">
        <v>410443</v>
      </c>
      <c r="E22">
        <f t="shared" si="0"/>
        <v>0.00971580369353127</v>
      </c>
      <c r="F22" s="12">
        <v>112.73</v>
      </c>
      <c r="G22" s="13">
        <v>43854538</v>
      </c>
      <c r="H22" s="11">
        <v>1986667</v>
      </c>
      <c r="I22">
        <f t="shared" si="1"/>
        <v>0.0453012867220264</v>
      </c>
      <c r="J22" s="14">
        <v>108.26</v>
      </c>
      <c r="K22" s="15">
        <v>46023761</v>
      </c>
      <c r="L22">
        <v>7648266</v>
      </c>
      <c r="M22">
        <f t="shared" si="2"/>
        <v>0.166180812558974</v>
      </c>
      <c r="N22" s="16">
        <v>107.04</v>
      </c>
      <c r="O22" s="17">
        <v>50126804</v>
      </c>
      <c r="P22">
        <v>6115470</v>
      </c>
      <c r="Q22">
        <f t="shared" si="3"/>
        <v>0.121999998244452</v>
      </c>
    </row>
    <row r="23" ht="15" spans="1:17">
      <c r="A23" s="9" t="s">
        <v>64</v>
      </c>
      <c r="B23" s="18" t="s">
        <v>65</v>
      </c>
      <c r="C23" s="4" t="s">
        <v>66</v>
      </c>
      <c r="D23" s="11">
        <v>13020</v>
      </c>
      <c r="E23">
        <f t="shared" si="0"/>
        <v>0.00198533838278178</v>
      </c>
      <c r="F23" s="12">
        <v>112.54</v>
      </c>
      <c r="G23" s="13">
        <v>7559035</v>
      </c>
      <c r="H23" s="11">
        <v>1663274</v>
      </c>
      <c r="I23">
        <f t="shared" si="1"/>
        <v>0.22003787520497</v>
      </c>
      <c r="J23" s="14">
        <v>110.9</v>
      </c>
      <c r="K23" s="15">
        <v>8671485</v>
      </c>
      <c r="L23">
        <v>1166113</v>
      </c>
      <c r="M23">
        <f t="shared" si="2"/>
        <v>0.134476736106907</v>
      </c>
      <c r="N23" s="16">
        <v>112.86</v>
      </c>
      <c r="O23" s="17">
        <v>10081232</v>
      </c>
      <c r="P23">
        <v>1051698</v>
      </c>
      <c r="Q23">
        <f t="shared" si="3"/>
        <v>0.104322368535909</v>
      </c>
    </row>
    <row r="24" ht="15" spans="1:17">
      <c r="A24" s="9" t="s">
        <v>67</v>
      </c>
      <c r="B24" s="18" t="s">
        <v>68</v>
      </c>
      <c r="C24" s="4" t="s">
        <v>69</v>
      </c>
      <c r="D24" s="11">
        <v>1955943</v>
      </c>
      <c r="E24">
        <f t="shared" si="0"/>
        <v>0.0182426210597798</v>
      </c>
      <c r="F24" s="12">
        <v>106.97</v>
      </c>
      <c r="G24">
        <v>112861059</v>
      </c>
      <c r="H24" s="11">
        <v>966961</v>
      </c>
      <c r="I24">
        <f t="shared" si="1"/>
        <v>0.00856771156116832</v>
      </c>
      <c r="J24" s="14">
        <v>103.14</v>
      </c>
      <c r="K24">
        <v>109263698</v>
      </c>
      <c r="L24">
        <v>15136861</v>
      </c>
      <c r="M24">
        <f t="shared" si="2"/>
        <v>0.13853513359945</v>
      </c>
      <c r="N24" s="16">
        <v>102.19</v>
      </c>
      <c r="O24" s="21">
        <v>115729025</v>
      </c>
      <c r="P24">
        <v>5474850</v>
      </c>
      <c r="Q24">
        <f t="shared" si="3"/>
        <v>0.0473074926536364</v>
      </c>
    </row>
    <row r="25" ht="15" spans="1:17">
      <c r="A25" s="9" t="s">
        <v>70</v>
      </c>
      <c r="B25" s="18" t="s">
        <v>71</v>
      </c>
      <c r="C25" s="4" t="s">
        <v>72</v>
      </c>
      <c r="D25" s="11">
        <v>4998473</v>
      </c>
      <c r="E25">
        <f t="shared" si="0"/>
        <v>0.154316480808233</v>
      </c>
      <c r="F25" s="12">
        <v>110.02</v>
      </c>
      <c r="G25" s="13">
        <v>35247695</v>
      </c>
      <c r="H25" s="11">
        <v>162188</v>
      </c>
      <c r="I25">
        <f t="shared" si="1"/>
        <v>0.00460137889867692</v>
      </c>
      <c r="J25" s="14">
        <v>106.89</v>
      </c>
      <c r="K25" s="15">
        <v>34748556</v>
      </c>
      <c r="L25">
        <v>5907703</v>
      </c>
      <c r="M25">
        <f t="shared" si="2"/>
        <v>0.170012906435594</v>
      </c>
      <c r="N25" s="16">
        <v>104.5</v>
      </c>
      <c r="O25" s="17">
        <v>38562148</v>
      </c>
      <c r="P25">
        <v>14164055</v>
      </c>
      <c r="Q25">
        <f t="shared" si="3"/>
        <v>0.367304616952354</v>
      </c>
    </row>
    <row r="26" ht="15" spans="1:17">
      <c r="A26" s="9" t="s">
        <v>73</v>
      </c>
      <c r="B26" s="18" t="s">
        <v>74</v>
      </c>
      <c r="C26" s="4" t="s">
        <v>75</v>
      </c>
      <c r="D26" s="11">
        <v>1652595</v>
      </c>
      <c r="E26">
        <f t="shared" si="0"/>
        <v>0.0446978460014172</v>
      </c>
      <c r="F26" s="12">
        <v>110.06</v>
      </c>
      <c r="G26" s="13">
        <v>42360089</v>
      </c>
      <c r="H26" s="11">
        <v>1654734</v>
      </c>
      <c r="I26">
        <f t="shared" si="1"/>
        <v>0.0390635156597523</v>
      </c>
      <c r="J26" s="14">
        <v>107.84</v>
      </c>
      <c r="K26" s="15">
        <v>45966766</v>
      </c>
      <c r="L26">
        <v>6607487</v>
      </c>
      <c r="M26">
        <f t="shared" si="2"/>
        <v>0.143744874285913</v>
      </c>
      <c r="N26" s="16">
        <v>107.16</v>
      </c>
      <c r="O26" s="17">
        <v>47209277</v>
      </c>
      <c r="P26">
        <v>4457784</v>
      </c>
      <c r="Q26">
        <f t="shared" si="3"/>
        <v>0.0944260171576023</v>
      </c>
    </row>
    <row r="27" ht="15" spans="1:17">
      <c r="A27" s="9" t="s">
        <v>76</v>
      </c>
      <c r="B27" s="18" t="s">
        <v>77</v>
      </c>
      <c r="C27" s="4" t="s">
        <v>78</v>
      </c>
      <c r="D27" s="11">
        <v>2053955</v>
      </c>
      <c r="E27">
        <f t="shared" si="0"/>
        <v>0.935304133051066</v>
      </c>
      <c r="F27" s="12">
        <v>102.67</v>
      </c>
      <c r="G27" s="13">
        <v>2616329</v>
      </c>
      <c r="H27" s="11">
        <v>1565536</v>
      </c>
      <c r="I27">
        <f t="shared" si="1"/>
        <v>0.598371229306406</v>
      </c>
      <c r="J27" s="14">
        <v>105.69</v>
      </c>
      <c r="K27" s="15">
        <v>3002165</v>
      </c>
      <c r="L27">
        <v>241607</v>
      </c>
      <c r="M27">
        <f t="shared" si="2"/>
        <v>0.0804775886735073</v>
      </c>
      <c r="N27" s="16">
        <v>110.32</v>
      </c>
      <c r="O27" s="17">
        <v>3648100</v>
      </c>
      <c r="P27">
        <v>5074998</v>
      </c>
      <c r="Q27">
        <f t="shared" si="3"/>
        <v>1.39113456319728</v>
      </c>
    </row>
    <row r="28" ht="15" spans="1:17">
      <c r="A28" s="9" t="s">
        <v>79</v>
      </c>
      <c r="B28" s="18" t="s">
        <v>80</v>
      </c>
      <c r="C28" s="4" t="s">
        <v>81</v>
      </c>
      <c r="D28" s="11">
        <v>1704996</v>
      </c>
      <c r="E28">
        <f t="shared" si="0"/>
        <v>0.0518515044848159</v>
      </c>
      <c r="F28" s="12">
        <v>108.2</v>
      </c>
      <c r="G28" s="13">
        <v>35365072</v>
      </c>
      <c r="H28" s="11">
        <v>1343725</v>
      </c>
      <c r="I28">
        <f t="shared" si="1"/>
        <v>0.037995822544911</v>
      </c>
      <c r="J28" s="14">
        <v>106.92</v>
      </c>
      <c r="K28" s="15">
        <v>37327379</v>
      </c>
      <c r="L28">
        <v>6281082</v>
      </c>
      <c r="M28">
        <f t="shared" si="2"/>
        <v>0.168270105436548</v>
      </c>
      <c r="N28" s="16">
        <v>104.79</v>
      </c>
      <c r="O28" s="17">
        <v>39528999</v>
      </c>
      <c r="P28">
        <v>206937</v>
      </c>
      <c r="Q28">
        <f t="shared" si="3"/>
        <v>0.00523506805725083</v>
      </c>
    </row>
    <row r="29" ht="15" spans="1:17">
      <c r="A29" s="9" t="s">
        <v>82</v>
      </c>
      <c r="B29" s="18" t="s">
        <v>83</v>
      </c>
      <c r="C29" s="4" t="s">
        <v>84</v>
      </c>
      <c r="D29" s="11">
        <v>986763</v>
      </c>
      <c r="E29">
        <f t="shared" si="0"/>
        <v>0.044108857482773</v>
      </c>
      <c r="F29" s="12">
        <v>107.59</v>
      </c>
      <c r="G29" s="13">
        <v>25124282</v>
      </c>
      <c r="H29" s="11">
        <v>1276456</v>
      </c>
      <c r="I29">
        <f t="shared" si="1"/>
        <v>0.0508056707849402</v>
      </c>
      <c r="J29" s="14">
        <v>104.42</v>
      </c>
      <c r="K29" s="15">
        <v>25575263</v>
      </c>
      <c r="L29">
        <v>4457589</v>
      </c>
      <c r="M29">
        <f t="shared" si="2"/>
        <v>0.174292987720204</v>
      </c>
      <c r="N29" s="16">
        <v>103.1</v>
      </c>
      <c r="O29" s="17">
        <v>25019831</v>
      </c>
      <c r="P29">
        <v>5265263</v>
      </c>
      <c r="Q29">
        <f t="shared" si="3"/>
        <v>0.21044358772847</v>
      </c>
    </row>
    <row r="30" ht="15" spans="1:17">
      <c r="A30" s="9" t="s">
        <v>85</v>
      </c>
      <c r="B30" s="18" t="s">
        <v>86</v>
      </c>
      <c r="C30" s="4" t="s">
        <v>87</v>
      </c>
      <c r="D30" s="11">
        <v>165514</v>
      </c>
      <c r="E30">
        <f t="shared" si="0"/>
        <v>0.0371361414706732</v>
      </c>
      <c r="F30" s="12">
        <v>106.69</v>
      </c>
      <c r="G30" s="13">
        <v>4822963</v>
      </c>
      <c r="H30" s="11">
        <v>1569357</v>
      </c>
      <c r="I30">
        <f t="shared" si="1"/>
        <v>0.325392709834183</v>
      </c>
      <c r="J30" s="14">
        <v>105.09</v>
      </c>
      <c r="K30" s="15">
        <v>5626723</v>
      </c>
      <c r="L30">
        <v>703143</v>
      </c>
      <c r="M30">
        <f t="shared" si="2"/>
        <v>0.124964921855936</v>
      </c>
      <c r="N30" s="16">
        <v>104.97</v>
      </c>
      <c r="O30" s="17">
        <v>5923957</v>
      </c>
      <c r="P30">
        <v>3148493</v>
      </c>
      <c r="Q30">
        <f t="shared" si="3"/>
        <v>0.531484782890895</v>
      </c>
    </row>
    <row r="31" ht="15" spans="1:17">
      <c r="A31" s="9" t="s">
        <v>88</v>
      </c>
      <c r="B31" s="18" t="s">
        <v>89</v>
      </c>
      <c r="C31" s="4" t="s">
        <v>90</v>
      </c>
      <c r="D31" s="11">
        <v>2036197</v>
      </c>
      <c r="E31">
        <f t="shared" si="0"/>
        <v>0.437379670471888</v>
      </c>
      <c r="F31" s="12">
        <v>105.26</v>
      </c>
      <c r="G31" s="13">
        <v>5486393</v>
      </c>
      <c r="H31" s="11">
        <v>1567345</v>
      </c>
      <c r="I31">
        <f t="shared" si="1"/>
        <v>0.285678587006071</v>
      </c>
      <c r="J31" s="14">
        <v>105.34</v>
      </c>
      <c r="K31" s="15">
        <v>6301350</v>
      </c>
      <c r="L31">
        <v>821714</v>
      </c>
      <c r="M31">
        <f t="shared" si="2"/>
        <v>0.130402850182897</v>
      </c>
      <c r="N31" s="16">
        <v>103.83</v>
      </c>
      <c r="O31" s="17">
        <v>7202654</v>
      </c>
      <c r="P31">
        <v>514118</v>
      </c>
      <c r="Q31">
        <f t="shared" si="3"/>
        <v>0.0713789666975534</v>
      </c>
    </row>
    <row r="32" ht="15" spans="1:17">
      <c r="A32" s="9" t="s">
        <v>91</v>
      </c>
      <c r="B32" s="22" t="s">
        <v>92</v>
      </c>
      <c r="C32" s="7" t="s">
        <v>93</v>
      </c>
      <c r="D32" s="11">
        <v>1850301</v>
      </c>
      <c r="E32">
        <f t="shared" si="0"/>
        <v>0.122076616940304</v>
      </c>
      <c r="F32" s="12">
        <v>107.24</v>
      </c>
      <c r="G32" s="13">
        <v>18459511</v>
      </c>
      <c r="H32" s="11">
        <v>1345678</v>
      </c>
      <c r="I32">
        <f t="shared" si="1"/>
        <v>0.0728988974843375</v>
      </c>
      <c r="J32">
        <v>105.43</v>
      </c>
      <c r="K32" s="15">
        <v>21815815</v>
      </c>
      <c r="L32">
        <v>2413813</v>
      </c>
      <c r="M32">
        <f t="shared" si="2"/>
        <v>0.110645098521417</v>
      </c>
      <c r="N32" s="16">
        <v>106.85</v>
      </c>
      <c r="O32" s="17">
        <v>25852345</v>
      </c>
      <c r="P32">
        <v>693895</v>
      </c>
      <c r="Q32">
        <f t="shared" si="3"/>
        <v>0.0268406985903987</v>
      </c>
    </row>
    <row r="33" spans="1:14">
      <c r="A33" s="9"/>
      <c r="B33" s="22"/>
      <c r="F33" s="12"/>
      <c r="N33" s="16"/>
    </row>
    <row r="34" spans="1:14">
      <c r="A34" s="9"/>
      <c r="B34" s="23"/>
      <c r="F34" s="12"/>
      <c r="N34" s="16"/>
    </row>
    <row r="35" spans="1:14">
      <c r="A35" s="9"/>
      <c r="F35" s="12"/>
    </row>
    <row r="36" spans="1:14">
      <c r="A36" s="9"/>
      <c r="F36" s="12"/>
    </row>
    <row r="37" spans="1:14">
      <c r="A37" s="9"/>
      <c r="F37" s="12"/>
    </row>
    <row r="38" spans="1:14">
      <c r="A38" s="9"/>
      <c r="F38" s="12"/>
    </row>
    <row r="39" spans="1:14">
      <c r="A39" s="9"/>
    </row>
    <row r="40" spans="1:14">
      <c r="A40" s="9"/>
    </row>
    <row r="41" spans="1:14">
      <c r="A41" s="9"/>
    </row>
    <row r="42" spans="1:14">
      <c r="A42" s="9"/>
    </row>
    <row r="43" spans="1:14">
      <c r="A43" s="9"/>
    </row>
    <row r="44" spans="1:14">
      <c r="A44" s="9"/>
    </row>
  </sheetData>
  <protectedRanges>
    <protectedRange sqref="K3:K6 K4:K6" name="範圍1"/>
    <protectedRange sqref="K7" name="範圍1_1"/>
    <protectedRange sqref="K8" name="範圍1_2"/>
    <protectedRange sqref="K9" name="範圍1_3"/>
    <protectedRange sqref="K10" name="範圍1_4"/>
    <protectedRange sqref="K11" name="範圍1_5"/>
    <protectedRange sqref="K12" name="範圍1_6"/>
    <protectedRange sqref="K13" name="範圍1_7"/>
    <protectedRange sqref="K14" name="範圍1_8"/>
    <protectedRange sqref="K15" name="範圍1_9"/>
    <protectedRange sqref="K16" name="範圍1_10"/>
    <protectedRange sqref="K17" name="範圍1_11"/>
    <protectedRange sqref="K18" name="範圍1_12"/>
    <protectedRange sqref="K19" name="範圍1_13"/>
    <protectedRange sqref="K20" name="範圍1_14"/>
    <protectedRange sqref="K21" name="範圍1_15"/>
    <protectedRange sqref="K22" name="範圍1_16"/>
    <protectedRange sqref="K23" name="範圍1_17"/>
    <protectedRange sqref="K25" name="範圍1_20"/>
    <protectedRange sqref="K26" name="範圍1_22"/>
    <protectedRange sqref="K27" name="範圍1_21"/>
    <protectedRange sqref="K28" name="範圍1_23"/>
    <protectedRange sqref="K29" name="範圍1_24"/>
    <protectedRange sqref="K30" name="範圍1_25"/>
    <protectedRange sqref="K31" name="範圍1_26"/>
    <protectedRange sqref="K32" name="範圍1_27"/>
  </protectedRanges>
  <mergeCells count="5">
    <mergeCell ref="B1:E1"/>
    <mergeCell ref="F1:I1"/>
    <mergeCell ref="J1:M1"/>
    <mergeCell ref="N1:Q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A1" sqref="A1:K31"/>
    </sheetView>
  </sheetViews>
  <sheetFormatPr defaultColWidth="9" defaultRowHeight="14"/>
  <sheetData>
    <row r="1" spans="1:11">
      <c r="A1" t="s">
        <v>94</v>
      </c>
      <c r="B1" s="1" t="s">
        <v>95</v>
      </c>
      <c r="D1" s="1">
        <v>1990</v>
      </c>
      <c r="G1" s="1">
        <v>2000</v>
      </c>
      <c r="H1" s="1"/>
      <c r="I1" s="1">
        <v>2010</v>
      </c>
      <c r="J1" s="1"/>
      <c r="K1" s="1">
        <v>2020</v>
      </c>
    </row>
    <row r="2" ht="15" spans="1:11">
      <c r="A2" s="3" t="s">
        <v>96</v>
      </c>
      <c r="D2" s="4" t="s">
        <v>6</v>
      </c>
      <c r="E2" s="5"/>
      <c r="F2" s="5"/>
      <c r="G2" s="4">
        <v>13569194</v>
      </c>
      <c r="H2" s="4"/>
      <c r="I2" s="4">
        <v>19612368</v>
      </c>
      <c r="J2" s="4"/>
      <c r="K2" s="4">
        <v>21893095</v>
      </c>
    </row>
    <row r="3" ht="15" spans="1:11">
      <c r="A3" s="3" t="s">
        <v>97</v>
      </c>
      <c r="D3" s="4" t="s">
        <v>9</v>
      </c>
      <c r="E3" s="5"/>
      <c r="F3" s="5"/>
      <c r="G3" s="4">
        <v>9848731</v>
      </c>
      <c r="H3" s="4"/>
      <c r="I3" s="4">
        <v>12938693</v>
      </c>
      <c r="J3" s="4"/>
      <c r="K3" s="4">
        <v>13866009</v>
      </c>
    </row>
    <row r="4" ht="15" spans="1:11">
      <c r="A4" s="3" t="s">
        <v>98</v>
      </c>
      <c r="D4" s="4" t="s">
        <v>12</v>
      </c>
      <c r="E4" s="5"/>
      <c r="F4" s="5"/>
      <c r="G4" s="4">
        <v>66684419</v>
      </c>
      <c r="H4" s="4"/>
      <c r="I4" s="4">
        <v>71854210</v>
      </c>
      <c r="J4" s="4"/>
      <c r="K4" s="4">
        <v>74610235</v>
      </c>
    </row>
    <row r="5" ht="15" spans="1:11">
      <c r="A5" s="3" t="s">
        <v>99</v>
      </c>
      <c r="D5" s="4" t="s">
        <v>15</v>
      </c>
      <c r="E5" s="5"/>
      <c r="F5" s="5"/>
      <c r="G5" s="4">
        <v>32471242</v>
      </c>
      <c r="H5" s="4"/>
      <c r="I5" s="4">
        <v>35712101</v>
      </c>
      <c r="J5" s="4"/>
      <c r="K5" s="4">
        <v>34915616</v>
      </c>
    </row>
    <row r="6" ht="15" spans="1:11">
      <c r="A6" s="3" t="s">
        <v>100</v>
      </c>
      <c r="D6" s="4" t="s">
        <v>18</v>
      </c>
      <c r="E6" s="5"/>
      <c r="F6" s="5"/>
      <c r="G6" s="4">
        <v>23323347</v>
      </c>
      <c r="H6" s="4"/>
      <c r="I6" s="4">
        <v>24706291</v>
      </c>
      <c r="J6" s="4"/>
      <c r="K6" s="4">
        <v>24049155</v>
      </c>
    </row>
    <row r="7" ht="15" spans="1:11">
      <c r="A7" s="3" t="s">
        <v>101</v>
      </c>
      <c r="D7" s="4" t="s">
        <v>21</v>
      </c>
      <c r="E7" s="5"/>
      <c r="F7" s="5"/>
      <c r="G7" s="4">
        <v>41824412</v>
      </c>
      <c r="H7" s="4"/>
      <c r="I7" s="4">
        <v>43746323</v>
      </c>
      <c r="J7" s="4"/>
      <c r="K7" s="4">
        <v>42591407</v>
      </c>
    </row>
    <row r="8" ht="15" spans="1:11">
      <c r="A8" s="3" t="s">
        <v>102</v>
      </c>
      <c r="D8" s="4" t="s">
        <v>24</v>
      </c>
      <c r="E8" s="5"/>
      <c r="F8" s="5"/>
      <c r="G8" s="4">
        <v>26802191</v>
      </c>
      <c r="H8" s="4"/>
      <c r="I8" s="4">
        <v>27452815</v>
      </c>
      <c r="J8" s="4"/>
      <c r="K8" s="4">
        <v>24073453</v>
      </c>
    </row>
    <row r="9" ht="15" spans="1:11">
      <c r="A9" s="3" t="s">
        <v>103</v>
      </c>
      <c r="D9" s="4" t="s">
        <v>27</v>
      </c>
      <c r="E9" s="5"/>
      <c r="F9" s="5"/>
      <c r="G9" s="4">
        <v>36237576</v>
      </c>
      <c r="H9" s="4"/>
      <c r="I9" s="4">
        <v>38313991</v>
      </c>
      <c r="J9" s="4"/>
      <c r="K9" s="4">
        <v>31850088</v>
      </c>
    </row>
    <row r="10" ht="15" spans="1:11">
      <c r="A10" s="3" t="s">
        <v>104</v>
      </c>
      <c r="D10" s="4" t="s">
        <v>30</v>
      </c>
      <c r="E10" s="5"/>
      <c r="F10" s="5"/>
      <c r="G10" s="4">
        <v>16407734</v>
      </c>
      <c r="H10" s="4"/>
      <c r="I10" s="4">
        <v>23019196</v>
      </c>
      <c r="J10" s="4"/>
      <c r="K10" s="4">
        <v>24870895</v>
      </c>
    </row>
    <row r="11" ht="15" spans="1:11">
      <c r="A11" s="3" t="s">
        <v>105</v>
      </c>
      <c r="D11" s="4" t="s">
        <v>33</v>
      </c>
      <c r="E11" s="5"/>
      <c r="F11" s="5"/>
      <c r="G11" s="4">
        <v>73043577</v>
      </c>
      <c r="H11" s="4"/>
      <c r="I11" s="4">
        <v>78660941</v>
      </c>
      <c r="J11" s="4"/>
      <c r="K11" s="4">
        <v>84748016</v>
      </c>
    </row>
    <row r="12" ht="15" spans="1:11">
      <c r="A12" s="3" t="s">
        <v>106</v>
      </c>
      <c r="D12" s="4" t="s">
        <v>36</v>
      </c>
      <c r="E12" s="5"/>
      <c r="F12" s="5"/>
      <c r="G12" s="4">
        <v>45930651</v>
      </c>
      <c r="H12" s="4"/>
      <c r="I12" s="4">
        <v>54426891</v>
      </c>
      <c r="J12" s="4"/>
      <c r="K12" s="4">
        <v>64567588</v>
      </c>
    </row>
    <row r="13" ht="15" spans="1:11">
      <c r="A13" s="3" t="s">
        <v>107</v>
      </c>
      <c r="D13" s="4" t="s">
        <v>39</v>
      </c>
      <c r="E13" s="5"/>
      <c r="F13" s="5"/>
      <c r="G13" s="4">
        <v>58999948</v>
      </c>
      <c r="H13" s="4"/>
      <c r="I13" s="4">
        <v>59500468</v>
      </c>
      <c r="J13" s="4"/>
      <c r="K13" s="4">
        <v>61027171</v>
      </c>
    </row>
    <row r="14" ht="15" spans="1:11">
      <c r="A14" s="3" t="s">
        <v>108</v>
      </c>
      <c r="D14" s="4" t="s">
        <v>42</v>
      </c>
      <c r="E14" s="5"/>
      <c r="F14" s="5"/>
      <c r="G14" s="4">
        <v>34097947</v>
      </c>
      <c r="H14" s="4"/>
      <c r="I14" s="4">
        <v>36894217</v>
      </c>
      <c r="J14" s="4"/>
      <c r="K14" s="4">
        <v>41540086</v>
      </c>
    </row>
    <row r="15" ht="15" spans="1:11">
      <c r="A15" s="3" t="s">
        <v>109</v>
      </c>
      <c r="D15" s="4" t="s">
        <v>45</v>
      </c>
      <c r="E15" s="5"/>
      <c r="F15" s="5"/>
      <c r="G15" s="4">
        <v>40397598</v>
      </c>
      <c r="H15" s="4"/>
      <c r="I15" s="4">
        <v>44567797</v>
      </c>
      <c r="J15" s="4"/>
      <c r="K15" s="4">
        <v>45188635</v>
      </c>
    </row>
    <row r="16" ht="15" spans="1:11">
      <c r="A16" s="3" t="s">
        <v>110</v>
      </c>
      <c r="D16" s="4" t="s">
        <v>48</v>
      </c>
      <c r="E16" s="5"/>
      <c r="F16" s="5"/>
      <c r="G16" s="4">
        <v>89971789</v>
      </c>
      <c r="H16" s="4"/>
      <c r="I16" s="4">
        <v>95792719</v>
      </c>
      <c r="J16" s="4"/>
      <c r="K16" s="4">
        <v>101527453</v>
      </c>
    </row>
    <row r="17" ht="15" spans="1:11">
      <c r="A17" s="3" t="s">
        <v>111</v>
      </c>
      <c r="D17" s="4" t="s">
        <v>51</v>
      </c>
      <c r="E17" s="5"/>
      <c r="F17" s="5"/>
      <c r="G17" s="4">
        <v>91236854</v>
      </c>
      <c r="H17" s="4"/>
      <c r="I17" s="4">
        <v>94029939</v>
      </c>
      <c r="J17" s="4"/>
      <c r="K17" s="4">
        <v>99365519</v>
      </c>
    </row>
    <row r="18" ht="15" spans="1:11">
      <c r="A18" s="3" t="s">
        <v>112</v>
      </c>
      <c r="D18" s="4" t="s">
        <v>54</v>
      </c>
      <c r="E18" s="5"/>
      <c r="F18" s="5"/>
      <c r="G18" s="4">
        <v>59508870</v>
      </c>
      <c r="H18" s="4"/>
      <c r="I18" s="4">
        <v>57237727</v>
      </c>
      <c r="J18" s="4"/>
      <c r="K18" s="4">
        <v>57752557</v>
      </c>
    </row>
    <row r="19" ht="15" spans="1:11">
      <c r="A19" s="3" t="s">
        <v>113</v>
      </c>
      <c r="D19" s="4" t="s">
        <v>57</v>
      </c>
      <c r="E19" s="5"/>
      <c r="F19" s="5"/>
      <c r="G19" s="4">
        <v>63274173</v>
      </c>
      <c r="H19" s="4"/>
      <c r="I19" s="4">
        <v>65700762</v>
      </c>
      <c r="J19" s="4"/>
      <c r="K19" s="4">
        <v>66444864</v>
      </c>
    </row>
    <row r="20" ht="15" spans="1:11">
      <c r="A20" s="3" t="s">
        <v>114</v>
      </c>
      <c r="D20" s="4" t="s">
        <v>60</v>
      </c>
      <c r="E20" s="5"/>
      <c r="F20" s="5"/>
      <c r="G20" s="4">
        <v>85225007</v>
      </c>
      <c r="H20" s="4"/>
      <c r="I20" s="4">
        <v>104320459</v>
      </c>
      <c r="J20" s="4"/>
      <c r="K20" s="4">
        <v>126012510</v>
      </c>
    </row>
    <row r="21" ht="15" spans="1:11">
      <c r="A21" s="3" t="s">
        <v>115</v>
      </c>
      <c r="D21" s="4" t="s">
        <v>63</v>
      </c>
      <c r="E21" s="5"/>
      <c r="F21" s="5"/>
      <c r="G21" s="4">
        <v>43854538</v>
      </c>
      <c r="H21" s="4"/>
      <c r="I21" s="4">
        <v>46023761</v>
      </c>
      <c r="J21" s="4"/>
      <c r="K21" s="4">
        <v>50126804</v>
      </c>
    </row>
    <row r="22" ht="15" spans="1:11">
      <c r="A22" s="3" t="s">
        <v>116</v>
      </c>
      <c r="D22" s="4" t="s">
        <v>66</v>
      </c>
      <c r="E22" s="5"/>
      <c r="F22" s="5"/>
      <c r="G22" s="4">
        <v>7559035</v>
      </c>
      <c r="H22" s="4"/>
      <c r="I22" s="4">
        <v>8671485</v>
      </c>
      <c r="J22" s="4"/>
      <c r="K22" s="4">
        <v>10081232</v>
      </c>
    </row>
    <row r="23" ht="15" spans="1:11">
      <c r="A23" s="3" t="s">
        <v>117</v>
      </c>
      <c r="D23" s="4" t="s">
        <v>69</v>
      </c>
      <c r="E23" s="5"/>
      <c r="F23" s="5"/>
      <c r="G23" s="4">
        <v>112861059</v>
      </c>
      <c r="H23" s="4"/>
      <c r="I23" s="4">
        <v>109263698</v>
      </c>
      <c r="J23" s="4"/>
      <c r="K23" s="4">
        <v>115729025</v>
      </c>
    </row>
    <row r="24" ht="15" spans="1:11">
      <c r="A24" s="3" t="s">
        <v>118</v>
      </c>
      <c r="D24" s="4" t="s">
        <v>72</v>
      </c>
      <c r="E24" s="5"/>
      <c r="F24" s="5"/>
      <c r="G24" s="4">
        <v>35247695</v>
      </c>
      <c r="H24" s="4"/>
      <c r="I24" s="4">
        <v>34748556</v>
      </c>
      <c r="J24" s="4"/>
      <c r="K24" s="4">
        <v>38562148</v>
      </c>
    </row>
    <row r="25" ht="15" spans="1:11">
      <c r="A25" s="3" t="s">
        <v>119</v>
      </c>
      <c r="D25" s="4" t="s">
        <v>75</v>
      </c>
      <c r="E25" s="5"/>
      <c r="F25" s="5"/>
      <c r="G25" s="4">
        <v>42360089</v>
      </c>
      <c r="H25" s="4"/>
      <c r="I25" s="4">
        <v>45966766</v>
      </c>
      <c r="J25" s="4"/>
      <c r="K25" s="4">
        <v>47209277</v>
      </c>
    </row>
    <row r="26" ht="15" spans="1:11">
      <c r="A26" s="3" t="s">
        <v>120</v>
      </c>
      <c r="D26" s="4" t="s">
        <v>78</v>
      </c>
      <c r="E26" s="5"/>
      <c r="F26" s="5"/>
      <c r="G26" s="4">
        <v>2616329</v>
      </c>
      <c r="H26" s="4"/>
      <c r="I26" s="4">
        <v>3002165</v>
      </c>
      <c r="J26" s="4"/>
      <c r="K26" s="4">
        <v>3648100</v>
      </c>
    </row>
    <row r="27" ht="15" spans="1:11">
      <c r="A27" s="3" t="s">
        <v>121</v>
      </c>
      <c r="D27" s="4" t="s">
        <v>81</v>
      </c>
      <c r="E27" s="5"/>
      <c r="F27" s="5"/>
      <c r="G27" s="4">
        <v>35365072</v>
      </c>
      <c r="H27" s="4"/>
      <c r="I27" s="4">
        <v>37327379</v>
      </c>
      <c r="J27" s="4"/>
      <c r="K27" s="4">
        <v>39528999</v>
      </c>
    </row>
    <row r="28" ht="15" spans="1:11">
      <c r="A28" s="3" t="s">
        <v>122</v>
      </c>
      <c r="D28" s="4" t="s">
        <v>84</v>
      </c>
      <c r="E28" s="5"/>
      <c r="F28" s="5"/>
      <c r="G28" s="4">
        <v>25124282</v>
      </c>
      <c r="H28" s="4"/>
      <c r="I28" s="4">
        <v>25575263</v>
      </c>
      <c r="J28" s="4"/>
      <c r="K28" s="4">
        <v>25019831</v>
      </c>
    </row>
    <row r="29" ht="15" spans="1:11">
      <c r="A29" s="3" t="s">
        <v>123</v>
      </c>
      <c r="D29" s="4" t="s">
        <v>87</v>
      </c>
      <c r="E29" s="5"/>
      <c r="F29" s="5"/>
      <c r="G29" s="4">
        <v>4822963</v>
      </c>
      <c r="H29" s="4"/>
      <c r="I29" s="4">
        <v>5626723</v>
      </c>
      <c r="J29" s="4"/>
      <c r="K29" s="4">
        <v>5923957</v>
      </c>
    </row>
    <row r="30" ht="15" spans="1:11">
      <c r="A30" s="3" t="s">
        <v>124</v>
      </c>
      <c r="D30" s="4" t="s">
        <v>90</v>
      </c>
      <c r="E30" s="5"/>
      <c r="F30" s="5"/>
      <c r="G30" s="4">
        <v>5486393</v>
      </c>
      <c r="H30" s="4"/>
      <c r="I30" s="4">
        <v>6301350</v>
      </c>
      <c r="J30" s="4"/>
      <c r="K30" s="4">
        <v>7202654</v>
      </c>
    </row>
    <row r="31" ht="15" spans="1:11">
      <c r="A31" s="6" t="s">
        <v>125</v>
      </c>
      <c r="D31" s="7" t="s">
        <v>93</v>
      </c>
      <c r="E31" s="5"/>
      <c r="F31" s="5"/>
      <c r="G31" s="4">
        <v>18459511</v>
      </c>
      <c r="H31" s="4"/>
      <c r="I31" s="4">
        <v>21815815</v>
      </c>
      <c r="J31" s="4"/>
      <c r="K31" s="4">
        <v>25852345</v>
      </c>
    </row>
  </sheetData>
  <protectedRanges>
    <protectedRange sqref="I2:I5 I3:I5" name="範圍1"/>
    <protectedRange sqref="I6" name="範圍1_1"/>
    <protectedRange sqref="I7" name="範圍1_2"/>
    <protectedRange sqref="I8" name="範圍1_3"/>
    <protectedRange sqref="I9" name="範圍1_4"/>
    <protectedRange sqref="I10" name="範圍1_5"/>
    <protectedRange sqref="I11" name="範圍1_6"/>
    <protectedRange sqref="I12" name="範圍1_7"/>
    <protectedRange sqref="I13" name="範圍1_8"/>
    <protectedRange sqref="I14" name="範圍1_9"/>
    <protectedRange sqref="I15" name="範圍1_10"/>
    <protectedRange sqref="I16" name="範圍1_11"/>
    <protectedRange sqref="I17" name="範圍1_12"/>
    <protectedRange sqref="I18" name="範圍1_13"/>
    <protectedRange sqref="I19" name="範圍1_14"/>
    <protectedRange sqref="I20" name="範圍1_15"/>
    <protectedRange sqref="I21" name="範圍1_16"/>
    <protectedRange sqref="I22" name="範圍1_17"/>
    <protectedRange sqref="J23" name="範圍1_19"/>
    <protectedRange sqref="I24" name="範圍1_20"/>
    <protectedRange sqref="I25" name="範圍1_22"/>
    <protectedRange sqref="I26" name="範圍1_21"/>
    <protectedRange sqref="I27" name="範圍1_23"/>
    <protectedRange sqref="I28" name="範圍1_24"/>
    <protectedRange sqref="I29" name="範圍1_25"/>
    <protectedRange sqref="I30" name="範圍1_26"/>
    <protectedRange sqref="I31" name="範圍1_27"/>
  </protectedRanges>
  <mergeCells count="1">
    <mergeCell ref="B1:C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L15" sqref="L15"/>
    </sheetView>
  </sheetViews>
  <sheetFormatPr defaultColWidth="9" defaultRowHeight="14"/>
  <sheetData>
    <row r="1" spans="1:9">
      <c r="A1" s="1" t="s">
        <v>126</v>
      </c>
      <c r="B1" s="1" t="s">
        <v>127</v>
      </c>
      <c r="C1" s="1"/>
      <c r="D1" s="1"/>
      <c r="E1" s="1"/>
      <c r="F1" s="1"/>
      <c r="G1" s="1"/>
      <c r="H1" s="1"/>
      <c r="I1" s="1"/>
    </row>
    <row r="2" spans="1:9">
      <c r="B2" s="1" t="s">
        <v>128</v>
      </c>
      <c r="C2" s="1"/>
      <c r="D2" s="1"/>
      <c r="E2" s="1"/>
      <c r="F2" s="1" t="s">
        <v>129</v>
      </c>
      <c r="G2" s="1"/>
      <c r="H2" s="1"/>
      <c r="I2" s="1"/>
    </row>
    <row r="3" spans="1:9">
      <c r="B3" s="1">
        <v>1990</v>
      </c>
      <c r="C3" s="1">
        <v>2000</v>
      </c>
      <c r="D3" s="1">
        <v>2010</v>
      </c>
      <c r="E3" s="1">
        <v>2020</v>
      </c>
      <c r="F3" s="1">
        <v>1990</v>
      </c>
      <c r="G3" s="1">
        <v>2000</v>
      </c>
      <c r="H3" s="1">
        <v>2010</v>
      </c>
      <c r="I3" s="1">
        <v>2020</v>
      </c>
    </row>
    <row r="4" spans="1:9">
      <c r="A4" s="2" t="s">
        <v>5</v>
      </c>
      <c r="B4" s="1">
        <v>8861419</v>
      </c>
      <c r="C4" s="1">
        <v>11284344</v>
      </c>
      <c r="D4" s="1">
        <v>13434368</v>
      </c>
      <c r="E4" s="1">
        <v>12703095</v>
      </c>
      <c r="F4" s="1">
        <v>1006353</v>
      </c>
      <c r="G4" s="1">
        <v>2284850</v>
      </c>
      <c r="H4" s="1">
        <v>6178000</v>
      </c>
      <c r="I4" s="1">
        <v>9190000</v>
      </c>
    </row>
    <row r="5" spans="1:9">
      <c r="A5" s="2" t="s">
        <v>7</v>
      </c>
      <c r="B5" s="1">
        <v>7516996</v>
      </c>
      <c r="C5" s="1">
        <v>8962717</v>
      </c>
      <c r="D5" s="1">
        <v>10676693</v>
      </c>
      <c r="E5" s="1">
        <v>10126009</v>
      </c>
      <c r="F5" s="1">
        <v>410282</v>
      </c>
      <c r="G5" s="1">
        <v>886014</v>
      </c>
      <c r="H5" s="1">
        <v>2262000</v>
      </c>
      <c r="I5" s="1">
        <v>3740000</v>
      </c>
    </row>
    <row r="6" spans="1:9">
      <c r="A6" s="2" t="s">
        <v>10</v>
      </c>
      <c r="B6" s="1">
        <v>52375693</v>
      </c>
      <c r="C6" s="1">
        <v>64885347</v>
      </c>
      <c r="D6" s="1">
        <v>66611210</v>
      </c>
      <c r="E6" s="1">
        <v>65350235</v>
      </c>
      <c r="F6" s="1">
        <v>582498</v>
      </c>
      <c r="G6" s="1">
        <v>1799072</v>
      </c>
      <c r="H6" s="1">
        <v>5243000</v>
      </c>
      <c r="I6" s="1">
        <v>9260000</v>
      </c>
    </row>
    <row r="7" spans="1:9">
      <c r="A7" s="2" t="s">
        <v>13</v>
      </c>
      <c r="B7" s="1">
        <v>24755791</v>
      </c>
      <c r="C7" s="1">
        <v>31360167</v>
      </c>
      <c r="D7" s="1">
        <v>32597801</v>
      </c>
      <c r="E7" s="1">
        <v>28855616</v>
      </c>
      <c r="F7" s="1">
        <v>397665</v>
      </c>
      <c r="G7" s="1">
        <v>1111075</v>
      </c>
      <c r="H7" s="1">
        <v>3114300</v>
      </c>
      <c r="I7" s="1">
        <v>6060000</v>
      </c>
    </row>
    <row r="8" spans="1:9">
      <c r="A8" s="2" t="s">
        <v>16</v>
      </c>
      <c r="B8" s="1">
        <v>18669943</v>
      </c>
      <c r="C8" s="1">
        <v>22433518</v>
      </c>
      <c r="D8" s="1">
        <v>22184391</v>
      </c>
      <c r="E8" s="1">
        <v>19559155</v>
      </c>
      <c r="F8" s="1">
        <v>317349</v>
      </c>
      <c r="G8" s="1">
        <v>889829</v>
      </c>
      <c r="H8" s="1">
        <v>2521900</v>
      </c>
      <c r="I8" s="1">
        <v>4490000</v>
      </c>
    </row>
    <row r="9" spans="1:9">
      <c r="A9" s="2" t="s">
        <v>19</v>
      </c>
      <c r="B9" s="1">
        <v>34706132</v>
      </c>
      <c r="C9" s="1">
        <v>39239062</v>
      </c>
      <c r="D9" s="1">
        <v>38512223</v>
      </c>
      <c r="E9" s="1">
        <v>34831407</v>
      </c>
      <c r="F9" s="1">
        <v>1023454</v>
      </c>
      <c r="G9" s="1">
        <v>2585350</v>
      </c>
      <c r="H9" s="1">
        <v>5234100</v>
      </c>
      <c r="I9" s="1">
        <v>7760000</v>
      </c>
    </row>
    <row r="10" spans="1:9">
      <c r="A10" s="2" t="s">
        <v>22</v>
      </c>
      <c r="B10" s="1">
        <v>21420430</v>
      </c>
      <c r="C10" s="1">
        <v>25480320</v>
      </c>
      <c r="D10" s="1">
        <v>24736715</v>
      </c>
      <c r="E10" s="1">
        <v>20043453</v>
      </c>
      <c r="F10" s="1">
        <v>530520</v>
      </c>
      <c r="G10" s="1">
        <v>1321871</v>
      </c>
      <c r="H10" s="1">
        <v>2716100</v>
      </c>
      <c r="I10" s="1">
        <v>4030000</v>
      </c>
    </row>
    <row r="11" spans="1:9">
      <c r="A11" s="2" t="s">
        <v>25</v>
      </c>
      <c r="B11" s="1">
        <v>30743587</v>
      </c>
      <c r="C11" s="1">
        <v>34496022</v>
      </c>
      <c r="D11" s="1">
        <v>34840191</v>
      </c>
      <c r="E11" s="1">
        <v>27140088</v>
      </c>
      <c r="F11" s="1">
        <v>753490</v>
      </c>
      <c r="G11" s="1">
        <v>1741554</v>
      </c>
      <c r="H11" s="1">
        <v>3473800</v>
      </c>
      <c r="I11" s="1">
        <v>4710000</v>
      </c>
    </row>
    <row r="12" spans="1:9">
      <c r="A12" s="2" t="s">
        <v>28</v>
      </c>
      <c r="B12" s="1">
        <v>11467964</v>
      </c>
      <c r="C12" s="1">
        <v>14612765</v>
      </c>
      <c r="D12" s="1">
        <v>17966196</v>
      </c>
      <c r="E12" s="1">
        <v>16450895</v>
      </c>
      <c r="F12" s="1">
        <v>872132</v>
      </c>
      <c r="G12" s="1">
        <v>1794969</v>
      </c>
      <c r="H12" s="1">
        <v>5053000</v>
      </c>
      <c r="I12" s="1">
        <v>8420000</v>
      </c>
    </row>
    <row r="13" spans="1:9">
      <c r="A13" s="2" t="s">
        <v>31</v>
      </c>
      <c r="B13" s="1">
        <v>59046123</v>
      </c>
      <c r="C13" s="1">
        <v>70181307</v>
      </c>
      <c r="D13" s="1">
        <v>70154141</v>
      </c>
      <c r="E13" s="1">
        <v>68928016</v>
      </c>
      <c r="F13" s="1">
        <v>988765</v>
      </c>
      <c r="G13" s="1">
        <v>2862270</v>
      </c>
      <c r="H13" s="1">
        <v>8506800</v>
      </c>
      <c r="I13" s="1">
        <v>15820000</v>
      </c>
    </row>
    <row r="14" spans="1:9">
      <c r="A14" s="2" t="s">
        <v>34</v>
      </c>
      <c r="B14" s="1">
        <v>37211448</v>
      </c>
      <c r="C14" s="1">
        <v>44462790</v>
      </c>
      <c r="D14" s="1">
        <v>49349091</v>
      </c>
      <c r="E14" s="1">
        <v>53597588</v>
      </c>
      <c r="F14" s="1">
        <v>485492</v>
      </c>
      <c r="G14" s="1">
        <v>1467861</v>
      </c>
      <c r="H14" s="1">
        <v>5077800</v>
      </c>
      <c r="I14" s="1">
        <v>10970000</v>
      </c>
    </row>
    <row r="15" spans="1:9">
      <c r="A15" s="2" t="s">
        <v>37</v>
      </c>
      <c r="B15" s="1">
        <v>48805149</v>
      </c>
      <c r="C15" s="1">
        <v>57636037</v>
      </c>
      <c r="D15" s="1">
        <v>55515468</v>
      </c>
      <c r="E15" s="1">
        <v>52927171</v>
      </c>
      <c r="F15" s="1">
        <v>495885</v>
      </c>
      <c r="G15" s="1">
        <v>1363911</v>
      </c>
      <c r="H15" s="1">
        <v>3985000</v>
      </c>
      <c r="I15" s="1">
        <v>8100000</v>
      </c>
    </row>
    <row r="16" spans="1:9">
      <c r="A16" s="2" t="s">
        <v>40</v>
      </c>
      <c r="B16" s="1">
        <v>25615670</v>
      </c>
      <c r="C16" s="1">
        <v>33086216</v>
      </c>
      <c r="D16" s="1">
        <v>33809517</v>
      </c>
      <c r="E16" s="1">
        <v>35660086</v>
      </c>
      <c r="F16" s="1">
        <v>368944</v>
      </c>
      <c r="G16" s="1">
        <v>1011731</v>
      </c>
      <c r="H16" s="1">
        <v>3084700</v>
      </c>
      <c r="I16" s="1">
        <v>5880000</v>
      </c>
    </row>
    <row r="17" spans="1:9">
      <c r="A17" s="2" t="s">
        <v>43</v>
      </c>
      <c r="B17" s="1">
        <v>32387105</v>
      </c>
      <c r="C17" s="1">
        <v>39352839</v>
      </c>
      <c r="D17" s="1">
        <v>41516097</v>
      </c>
      <c r="E17" s="1">
        <v>39808635</v>
      </c>
      <c r="F17" s="1">
        <v>373722</v>
      </c>
      <c r="G17" s="1">
        <v>1044759</v>
      </c>
      <c r="H17" s="1">
        <v>3051700</v>
      </c>
      <c r="I17" s="1">
        <v>5380000</v>
      </c>
    </row>
    <row r="18" spans="1:9">
      <c r="A18" s="2" t="s">
        <v>46</v>
      </c>
      <c r="B18" s="1">
        <v>73431991</v>
      </c>
      <c r="C18" s="1">
        <v>86971037</v>
      </c>
      <c r="D18" s="1">
        <v>87464019</v>
      </c>
      <c r="E18" s="1">
        <v>86927453</v>
      </c>
      <c r="F18" s="1">
        <v>822863</v>
      </c>
      <c r="G18" s="1">
        <v>3000752</v>
      </c>
      <c r="H18" s="1">
        <v>8328700</v>
      </c>
      <c r="I18" s="1">
        <v>14600000</v>
      </c>
    </row>
    <row r="19" spans="1:9">
      <c r="A19" s="2" t="s">
        <v>49</v>
      </c>
      <c r="B19" s="1">
        <v>73531087</v>
      </c>
      <c r="C19" s="1">
        <v>88797333</v>
      </c>
      <c r="D19" s="1">
        <v>88014339</v>
      </c>
      <c r="E19" s="1">
        <v>87695519</v>
      </c>
      <c r="F19" s="1">
        <v>725560</v>
      </c>
      <c r="G19" s="1">
        <v>2439521</v>
      </c>
      <c r="H19" s="1">
        <v>6015600</v>
      </c>
      <c r="I19" s="1">
        <v>11670000</v>
      </c>
    </row>
    <row r="20" spans="1:9">
      <c r="A20" s="2" t="s">
        <v>52</v>
      </c>
      <c r="B20" s="1">
        <v>45925203</v>
      </c>
      <c r="C20" s="1">
        <v>57188217</v>
      </c>
      <c r="D20" s="1">
        <v>51781427</v>
      </c>
      <c r="E20" s="1">
        <v>48802557</v>
      </c>
      <c r="F20" s="1">
        <v>844927</v>
      </c>
      <c r="G20" s="1">
        <v>2320653</v>
      </c>
      <c r="H20" s="1">
        <v>5456300</v>
      </c>
      <c r="I20" s="1">
        <v>8950000</v>
      </c>
    </row>
    <row r="21" spans="1:9">
      <c r="A21" s="2" t="s">
        <v>55</v>
      </c>
      <c r="B21" s="1">
        <v>52319481</v>
      </c>
      <c r="C21" s="1">
        <v>61422483</v>
      </c>
      <c r="D21" s="1">
        <v>60712162</v>
      </c>
      <c r="E21" s="1">
        <v>58314864</v>
      </c>
      <c r="F21" s="1">
        <v>689907</v>
      </c>
      <c r="G21" s="1">
        <v>1851690</v>
      </c>
      <c r="H21" s="1">
        <v>4988600</v>
      </c>
      <c r="I21" s="1">
        <v>8130000</v>
      </c>
    </row>
    <row r="22" spans="1:9">
      <c r="A22" s="2" t="s">
        <v>58</v>
      </c>
      <c r="B22" s="1">
        <v>53700273</v>
      </c>
      <c r="C22" s="1">
        <v>82193684</v>
      </c>
      <c r="D22" s="1">
        <v>95753459</v>
      </c>
      <c r="E22" s="1">
        <v>106232510</v>
      </c>
      <c r="F22" s="1">
        <v>840879</v>
      </c>
      <c r="G22" s="1">
        <v>3031323</v>
      </c>
      <c r="H22" s="1">
        <v>8567000</v>
      </c>
      <c r="I22" s="1">
        <v>19780000</v>
      </c>
    </row>
    <row r="23" spans="1:9">
      <c r="A23" s="2" t="s">
        <v>61</v>
      </c>
      <c r="B23" s="1">
        <v>36066572</v>
      </c>
      <c r="C23" s="1">
        <v>42807404</v>
      </c>
      <c r="D23" s="1">
        <v>43272361</v>
      </c>
      <c r="E23" s="1">
        <v>44706804</v>
      </c>
      <c r="F23" s="1">
        <v>334444</v>
      </c>
      <c r="G23" s="1">
        <v>1047134</v>
      </c>
      <c r="H23" s="1">
        <v>2751400</v>
      </c>
      <c r="I23" s="1">
        <v>5420000</v>
      </c>
    </row>
    <row r="24" spans="1:9">
      <c r="A24" s="2" t="s">
        <v>64</v>
      </c>
      <c r="B24" s="1">
        <v>5589623</v>
      </c>
      <c r="C24" s="1">
        <v>7318672</v>
      </c>
      <c r="D24" s="1">
        <v>7997885</v>
      </c>
      <c r="E24" s="1">
        <v>8681232</v>
      </c>
      <c r="F24" s="1">
        <v>81773</v>
      </c>
      <c r="G24" s="1">
        <v>240363</v>
      </c>
      <c r="H24" s="1">
        <v>673600</v>
      </c>
      <c r="I24" s="1">
        <v>1400000</v>
      </c>
    </row>
    <row r="25" spans="1:9">
      <c r="A25" s="2" t="s">
        <v>67</v>
      </c>
      <c r="B25" s="1">
        <v>95109348</v>
      </c>
      <c r="C25" s="1">
        <v>109962330</v>
      </c>
      <c r="D25" s="1">
        <v>101402398</v>
      </c>
      <c r="E25" s="1">
        <v>99689025</v>
      </c>
      <c r="F25" s="1">
        <v>1030451</v>
      </c>
      <c r="G25" s="1">
        <v>2898729</v>
      </c>
      <c r="H25" s="1">
        <v>7861300</v>
      </c>
      <c r="I25" s="1">
        <v>16040000</v>
      </c>
    </row>
    <row r="26" spans="1:9">
      <c r="A26" s="2" t="s">
        <v>70</v>
      </c>
      <c r="B26" s="1">
        <v>27831344</v>
      </c>
      <c r="C26" s="1">
        <v>34572829</v>
      </c>
      <c r="D26" s="1">
        <v>32909756</v>
      </c>
      <c r="E26" s="1">
        <v>34342148</v>
      </c>
      <c r="F26" s="1">
        <v>250603</v>
      </c>
      <c r="G26" s="1">
        <v>674866</v>
      </c>
      <c r="H26" s="1">
        <v>1838800</v>
      </c>
      <c r="I26" s="1">
        <v>4220000</v>
      </c>
    </row>
    <row r="27" spans="1:9">
      <c r="A27" s="2" t="s">
        <v>73</v>
      </c>
      <c r="B27" s="1">
        <v>31938363</v>
      </c>
      <c r="C27" s="1">
        <v>41507530</v>
      </c>
      <c r="D27" s="1">
        <v>43310766</v>
      </c>
      <c r="E27" s="1">
        <v>41729277</v>
      </c>
      <c r="F27" s="1">
        <v>298596</v>
      </c>
      <c r="G27" s="1">
        <v>852559</v>
      </c>
      <c r="H27" s="1">
        <v>2656000</v>
      </c>
      <c r="I27" s="1">
        <v>5480000</v>
      </c>
    </row>
    <row r="28" spans="1:9">
      <c r="A28" s="2" t="s">
        <v>76</v>
      </c>
      <c r="B28" s="1">
        <v>1850640</v>
      </c>
      <c r="C28" s="1">
        <v>2582772</v>
      </c>
      <c r="D28" s="1">
        <v>2836865</v>
      </c>
      <c r="E28" s="1">
        <v>3248100</v>
      </c>
      <c r="F28" s="1">
        <v>12417</v>
      </c>
      <c r="G28" s="1">
        <v>33557</v>
      </c>
      <c r="H28" s="1">
        <v>165300</v>
      </c>
      <c r="I28" s="1">
        <v>400000</v>
      </c>
    </row>
    <row r="29" spans="1:9">
      <c r="A29" s="2" t="s">
        <v>79</v>
      </c>
      <c r="B29" s="1">
        <v>27769360</v>
      </c>
      <c r="C29" s="1">
        <v>33879029</v>
      </c>
      <c r="D29" s="1">
        <v>33387079</v>
      </c>
      <c r="E29" s="1">
        <v>32258999</v>
      </c>
      <c r="F29" s="1">
        <v>550022</v>
      </c>
      <c r="G29" s="1">
        <v>1486043</v>
      </c>
      <c r="H29" s="1">
        <v>3940300</v>
      </c>
      <c r="I29" s="1">
        <v>7270000</v>
      </c>
    </row>
    <row r="30" spans="1:9">
      <c r="A30" s="2" t="s">
        <v>82</v>
      </c>
      <c r="B30" s="1">
        <v>19193201</v>
      </c>
      <c r="C30" s="1">
        <v>24451867</v>
      </c>
      <c r="D30" s="1">
        <v>23651963</v>
      </c>
      <c r="E30" s="1">
        <v>21389831</v>
      </c>
      <c r="F30" s="1">
        <v>247302</v>
      </c>
      <c r="G30" s="1">
        <v>672415</v>
      </c>
      <c r="H30" s="1">
        <v>1923300</v>
      </c>
      <c r="I30" s="1">
        <v>3630000</v>
      </c>
    </row>
    <row r="31" spans="1:9">
      <c r="A31" s="2" t="s">
        <v>85</v>
      </c>
      <c r="B31" s="1">
        <v>3855723</v>
      </c>
      <c r="C31" s="1">
        <v>4666529</v>
      </c>
      <c r="D31" s="1">
        <v>5141929</v>
      </c>
      <c r="E31" s="1">
        <v>5043957</v>
      </c>
      <c r="F31" s="1">
        <v>66362</v>
      </c>
      <c r="G31" s="1">
        <v>156434</v>
      </c>
      <c r="H31" s="1">
        <v>484794</v>
      </c>
      <c r="I31" s="1">
        <v>880000</v>
      </c>
    </row>
    <row r="32" spans="1:9">
      <c r="A32" s="2" t="s">
        <v>88</v>
      </c>
      <c r="B32" s="1">
        <v>3948264</v>
      </c>
      <c r="C32" s="1">
        <v>5283864</v>
      </c>
      <c r="D32" s="1">
        <v>5724650</v>
      </c>
      <c r="E32" s="1">
        <v>5952654</v>
      </c>
      <c r="F32" s="1">
        <v>74967</v>
      </c>
      <c r="G32" s="1">
        <v>202529</v>
      </c>
      <c r="H32" s="1">
        <v>576700</v>
      </c>
      <c r="I32" s="1">
        <v>1250000</v>
      </c>
    </row>
    <row r="33" spans="1:9">
      <c r="A33" s="2" t="s">
        <v>91</v>
      </c>
      <c r="B33" s="1">
        <v>12688563</v>
      </c>
      <c r="C33" s="1">
        <v>17513050</v>
      </c>
      <c r="D33" s="1">
        <v>19485915</v>
      </c>
      <c r="E33" s="1">
        <v>21582345</v>
      </c>
      <c r="F33" s="1">
        <v>279819</v>
      </c>
      <c r="G33" s="1">
        <v>946461</v>
      </c>
      <c r="H33" s="1">
        <v>2329900</v>
      </c>
      <c r="I33" s="1">
        <v>4270000</v>
      </c>
    </row>
  </sheetData>
  <mergeCells count="3">
    <mergeCell ref="B1:I1"/>
    <mergeCell ref="B2:E2"/>
    <mergeCell ref="F2:I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範圍1" rangeCreator="" othersAccessPermission="edit"/>
    <arrUserId title="範圍1_1" rangeCreator="" othersAccessPermission="edit"/>
    <arrUserId title="範圍1_2" rangeCreator="" othersAccessPermission="edit"/>
    <arrUserId title="範圍1_3" rangeCreator="" othersAccessPermission="edit"/>
    <arrUserId title="範圍1_4" rangeCreator="" othersAccessPermission="edit"/>
    <arrUserId title="範圍1_5" rangeCreator="" othersAccessPermission="edit"/>
    <arrUserId title="範圍1_6" rangeCreator="" othersAccessPermission="edit"/>
    <arrUserId title="範圍1_7" rangeCreator="" othersAccessPermission="edit"/>
    <arrUserId title="範圍1_8" rangeCreator="" othersAccessPermission="edit"/>
    <arrUserId title="範圍1_9" rangeCreator="" othersAccessPermission="edit"/>
    <arrUserId title="範圍1_10" rangeCreator="" othersAccessPermission="edit"/>
    <arrUserId title="範圍1_11" rangeCreator="" othersAccessPermission="edit"/>
    <arrUserId title="範圍1_12" rangeCreator="" othersAccessPermission="edit"/>
    <arrUserId title="範圍1_13" rangeCreator="" othersAccessPermission="edit"/>
    <arrUserId title="範圍1_14" rangeCreator="" othersAccessPermission="edit"/>
    <arrUserId title="範圍1_15" rangeCreator="" othersAccessPermission="edit"/>
    <arrUserId title="範圍1_16" rangeCreator="" othersAccessPermission="edit"/>
    <arrUserId title="範圍1_17" rangeCreator="" othersAccessPermission="edit"/>
    <arrUserId title="範圍1_20" rangeCreator="" othersAccessPermission="edit"/>
    <arrUserId title="範圍1_22" rangeCreator="" othersAccessPermission="edit"/>
    <arrUserId title="範圍1_21" rangeCreator="" othersAccessPermission="edit"/>
    <arrUserId title="範圍1_23" rangeCreator="" othersAccessPermission="edit"/>
    <arrUserId title="範圍1_24" rangeCreator="" othersAccessPermission="edit"/>
    <arrUserId title="範圍1_25" rangeCreator="" othersAccessPermission="edit"/>
    <arrUserId title="範圍1_26" rangeCreator="" othersAccessPermission="edit"/>
    <arrUserId title="範圍1_27" rangeCreator="" othersAccessPermission="edit"/>
  </rangeList>
  <rangeList sheetStid="2" master="" otherUserPermission="visible">
    <arrUserId title="範圍1" rangeCreator="" othersAccessPermission="edit"/>
    <arrUserId title="範圍1_1" rangeCreator="" othersAccessPermission="edit"/>
    <arrUserId title="範圍1_2" rangeCreator="" othersAccessPermission="edit"/>
    <arrUserId title="範圍1_3" rangeCreator="" othersAccessPermission="edit"/>
    <arrUserId title="範圍1_4" rangeCreator="" othersAccessPermission="edit"/>
    <arrUserId title="範圍1_5" rangeCreator="" othersAccessPermission="edit"/>
    <arrUserId title="範圍1_6" rangeCreator="" othersAccessPermission="edit"/>
    <arrUserId title="範圍1_7" rangeCreator="" othersAccessPermission="edit"/>
    <arrUserId title="範圍1_8" rangeCreator="" othersAccessPermission="edit"/>
    <arrUserId title="範圍1_9" rangeCreator="" othersAccessPermission="edit"/>
    <arrUserId title="範圍1_10" rangeCreator="" othersAccessPermission="edit"/>
    <arrUserId title="範圍1_11" rangeCreator="" othersAccessPermission="edit"/>
    <arrUserId title="範圍1_12" rangeCreator="" othersAccessPermission="edit"/>
    <arrUserId title="範圍1_13" rangeCreator="" othersAccessPermission="edit"/>
    <arrUserId title="範圍1_14" rangeCreator="" othersAccessPermission="edit"/>
    <arrUserId title="範圍1_15" rangeCreator="" othersAccessPermission="edit"/>
    <arrUserId title="範圍1_16" rangeCreator="" othersAccessPermission="edit"/>
    <arrUserId title="範圍1_17" rangeCreator="" othersAccessPermission="edit"/>
    <arrUserId title="範圍1_19" rangeCreator="" othersAccessPermission="edit"/>
    <arrUserId title="範圍1_20" rangeCreator="" othersAccessPermission="edit"/>
    <arrUserId title="範圍1_22" rangeCreator="" othersAccessPermission="edit"/>
    <arrUserId title="範圍1_21" rangeCreator="" othersAccessPermission="edit"/>
    <arrUserId title="範圍1_23" rangeCreator="" othersAccessPermission="edit"/>
    <arrUserId title="範圍1_24" rangeCreator="" othersAccessPermission="edit"/>
    <arrUserId title="範圍1_25" rangeCreator="" othersAccessPermission="edit"/>
    <arrUserId title="範圍1_26" rangeCreator="" othersAccessPermission="edit"/>
    <arrUserId title="範圍1_27" rangeCreator="" othersAccessPermission="edit"/>
  </rangeList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性别比例和年龄结构</vt:lpstr>
      <vt:lpstr>人口规模</vt:lpstr>
      <vt:lpstr>教育水平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林华强(2025040194)</cp:lastModifiedBy>
  <dcterms:created xsi:type="dcterms:W3CDTF">2023-05-12T11:15:00Z</dcterms:created>
  <dcterms:modified xsi:type="dcterms:W3CDTF">2026-05-10T08:47:44Z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945621C258D24C6592DE78CD30A7882C_13</vt:lpwstr>
  </property>
  <property fmtid="{D5CDD505-2E9C-101B-9397-08002B2CF9AE}" pid="4" name="CalculationRule">
    <vt:i4>0</vt:i4>
  </property>
</Properties>
</file>